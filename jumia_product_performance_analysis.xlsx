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Zena.Muhoro\Lux Dev HQ\jumia_product_performance_dashboard\"/>
    </mc:Choice>
  </mc:AlternateContent>
  <xr:revisionPtr revIDLastSave="0" documentId="8_{EB3DB0B9-8F63-4996-B1BD-F15852DA9F1E}" xr6:coauthVersionLast="47" xr6:coauthVersionMax="47" xr10:uidLastSave="{00000000-0000-0000-0000-000000000000}"/>
  <bookViews>
    <workbookView xWindow="-98" yWindow="-98" windowWidth="22695" windowHeight="14476" xr2:uid="{C3588657-431D-4B63-A725-0D4522F7D65F}"/>
  </bookViews>
  <sheets>
    <sheet name="Raw_Data" sheetId="2" r:id="rId1"/>
    <sheet name="Cleaned_Data" sheetId="1" r:id="rId2"/>
    <sheet name="Data_Analysis" sheetId="5" r:id="rId3"/>
    <sheet name="Product Categories" sheetId="19" r:id="rId4"/>
    <sheet name="Product Performance" sheetId="20" r:id="rId5"/>
    <sheet name="Trend Analysis" sheetId="21" r:id="rId6"/>
    <sheet name="Dashboard" sheetId="22" r:id="rId7"/>
    <sheet name="Data_Dictionary" sheetId="3" r:id="rId8"/>
  </sheets>
  <definedNames>
    <definedName name="_xlcn.WorksheetConnection_jumia_product_performance_analysis.xlsxExcel_jumia_dataset31" hidden="1">Excel_jumia_dataset3[]</definedName>
    <definedName name="ExternalData_1" localSheetId="1" hidden="1">Cleaned_Data!$A$1:$I$113</definedName>
    <definedName name="ExternalData_1" localSheetId="0" hidden="1">Raw_Data!$A$1:$F$116</definedName>
    <definedName name="Slicer_Discount_Category">#N/A</definedName>
    <definedName name="Slicer_Price_Category">#N/A</definedName>
    <definedName name="Slicer_Rating_Category">#N/A</definedName>
  </definedNames>
  <calcPr calcId="191029"/>
  <pivotCaches>
    <pivotCache cacheId="240" r:id="rId9"/>
    <pivotCache cacheId="703" r:id="rId10"/>
    <pivotCache cacheId="709" r:id="rId11"/>
    <pivotCache cacheId="712" r:id="rId12"/>
    <pivotCache cacheId="737" r:id="rId13"/>
    <pivotCache cacheId="740" r:id="rId14"/>
    <pivotCache cacheId="752" r:id="rId15"/>
  </pivotCaches>
  <extLst>
    <ext xmlns:x14="http://schemas.microsoft.com/office/spreadsheetml/2009/9/main" uri="{876F7934-8845-4945-9796-88D515C7AA90}">
      <x14:pivotCaches>
        <pivotCache cacheId="415"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jumia_dataset3" name="Excel_jumia_dataset3" connection="WorksheetConnection_jumia_product_performance_analysis.xlsx!Excel_jumia_dataset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5" l="1"/>
  <c r="D15" i="1"/>
  <c r="D29" i="1"/>
  <c r="D43" i="1"/>
  <c r="D57" i="1"/>
  <c r="D71" i="1"/>
  <c r="D87" i="1"/>
  <c r="D101" i="1"/>
  <c r="G113" i="1"/>
  <c r="G96" i="1"/>
  <c r="G98" i="1"/>
  <c r="G100" i="1"/>
  <c r="G101" i="1"/>
  <c r="G111" i="1"/>
  <c r="G112" i="1"/>
  <c r="G95" i="1"/>
  <c r="G93" i="1"/>
  <c r="G94" i="1"/>
  <c r="G92" i="1"/>
  <c r="G13" i="1"/>
  <c r="G91" i="1"/>
  <c r="G15" i="1"/>
  <c r="G87" i="1"/>
  <c r="G88" i="1"/>
  <c r="G18" i="1"/>
  <c r="G19" i="1"/>
  <c r="G20" i="1"/>
  <c r="G21" i="1"/>
  <c r="G22" i="1"/>
  <c r="G86" i="1"/>
  <c r="G24" i="1"/>
  <c r="G25" i="1"/>
  <c r="G85" i="1"/>
  <c r="G27" i="1"/>
  <c r="G28" i="1"/>
  <c r="G84" i="1"/>
  <c r="G30" i="1"/>
  <c r="G31" i="1"/>
  <c r="G32" i="1"/>
  <c r="G33" i="1"/>
  <c r="G34" i="1"/>
  <c r="G35" i="1"/>
  <c r="G80" i="1"/>
  <c r="G78" i="1"/>
  <c r="G79" i="1"/>
  <c r="G39" i="1"/>
  <c r="G40" i="1"/>
  <c r="G41" i="1"/>
  <c r="G42" i="1"/>
  <c r="G76" i="1"/>
  <c r="G44" i="1"/>
  <c r="G45" i="1"/>
  <c r="G46" i="1"/>
  <c r="G72" i="1"/>
  <c r="G73" i="1"/>
  <c r="G49" i="1"/>
  <c r="G50" i="1"/>
  <c r="G51" i="1"/>
  <c r="G65" i="1"/>
  <c r="G67" i="1"/>
  <c r="G54" i="1"/>
  <c r="G57" i="1"/>
  <c r="G59" i="1"/>
  <c r="G60" i="1"/>
  <c r="G58" i="1"/>
  <c r="G55" i="1"/>
  <c r="G56" i="1"/>
  <c r="G61" i="1"/>
  <c r="G62" i="1"/>
  <c r="G63" i="1"/>
  <c r="G64" i="1"/>
  <c r="G53" i="1"/>
  <c r="G66" i="1"/>
  <c r="G52" i="1"/>
  <c r="G68" i="1"/>
  <c r="G69" i="1"/>
  <c r="G70" i="1"/>
  <c r="G71" i="1"/>
  <c r="G43" i="1"/>
  <c r="G47" i="1"/>
  <c r="G74" i="1"/>
  <c r="G75" i="1"/>
  <c r="G48" i="1"/>
  <c r="G77" i="1"/>
  <c r="G36" i="1"/>
  <c r="G37" i="1"/>
  <c r="G38" i="1"/>
  <c r="G81" i="1"/>
  <c r="G82" i="1"/>
  <c r="G83" i="1"/>
  <c r="G10" i="1"/>
  <c r="G11" i="1"/>
  <c r="G12" i="1"/>
  <c r="G14" i="1"/>
  <c r="G16" i="1"/>
  <c r="G89" i="1"/>
  <c r="G90" i="1"/>
  <c r="G17" i="1"/>
  <c r="G23" i="1"/>
  <c r="G26" i="1"/>
  <c r="G29" i="1"/>
  <c r="G5" i="1"/>
  <c r="G6" i="1"/>
  <c r="G97" i="1"/>
  <c r="G7" i="1"/>
  <c r="G99" i="1"/>
  <c r="G8" i="1"/>
  <c r="G9" i="1"/>
  <c r="G102" i="1"/>
  <c r="G103" i="1"/>
  <c r="G104" i="1"/>
  <c r="G105" i="1"/>
  <c r="G106" i="1"/>
  <c r="G107" i="1"/>
  <c r="G108" i="1"/>
  <c r="G109" i="1"/>
  <c r="G110" i="1"/>
  <c r="G4" i="1"/>
  <c r="G3" i="1"/>
  <c r="G2" i="1"/>
  <c r="B18" i="5"/>
  <c r="B22" i="5"/>
  <c r="B21" i="5"/>
  <c r="D12" i="1" s="1"/>
  <c r="B3" i="5"/>
  <c r="E46" i="1"/>
  <c r="J46" i="1"/>
  <c r="E113" i="1"/>
  <c r="E96" i="1"/>
  <c r="E98" i="1"/>
  <c r="E100" i="1"/>
  <c r="E101" i="1"/>
  <c r="E111" i="1"/>
  <c r="E112" i="1"/>
  <c r="E95" i="1"/>
  <c r="E93" i="1"/>
  <c r="E94" i="1"/>
  <c r="E92" i="1"/>
  <c r="E13" i="1"/>
  <c r="E91" i="1"/>
  <c r="E15" i="1"/>
  <c r="E87" i="1"/>
  <c r="E88" i="1"/>
  <c r="E18" i="1"/>
  <c r="E19" i="1"/>
  <c r="E20" i="1"/>
  <c r="E21" i="1"/>
  <c r="E22" i="1"/>
  <c r="E86" i="1"/>
  <c r="E24" i="1"/>
  <c r="E25" i="1"/>
  <c r="E85" i="1"/>
  <c r="E27" i="1"/>
  <c r="E28" i="1"/>
  <c r="E84" i="1"/>
  <c r="E30" i="1"/>
  <c r="E31" i="1"/>
  <c r="E32" i="1"/>
  <c r="E33" i="1"/>
  <c r="E34" i="1"/>
  <c r="E35" i="1"/>
  <c r="E80" i="1"/>
  <c r="E78" i="1"/>
  <c r="E79" i="1"/>
  <c r="E39" i="1"/>
  <c r="E40" i="1"/>
  <c r="E41" i="1"/>
  <c r="E42" i="1"/>
  <c r="E76" i="1"/>
  <c r="E44" i="1"/>
  <c r="E45" i="1"/>
  <c r="E72" i="1"/>
  <c r="E73" i="1"/>
  <c r="E49" i="1"/>
  <c r="E50" i="1"/>
  <c r="E51" i="1"/>
  <c r="E65" i="1"/>
  <c r="E67" i="1"/>
  <c r="E54" i="1"/>
  <c r="E57" i="1"/>
  <c r="E59" i="1"/>
  <c r="E60" i="1"/>
  <c r="E58" i="1"/>
  <c r="E55" i="1"/>
  <c r="E56" i="1"/>
  <c r="E61" i="1"/>
  <c r="E62" i="1"/>
  <c r="E63" i="1"/>
  <c r="E64" i="1"/>
  <c r="E53" i="1"/>
  <c r="E66" i="1"/>
  <c r="E52" i="1"/>
  <c r="E68" i="1"/>
  <c r="E69" i="1"/>
  <c r="E70" i="1"/>
  <c r="E71" i="1"/>
  <c r="E43" i="1"/>
  <c r="E47" i="1"/>
  <c r="E74" i="1"/>
  <c r="E75" i="1"/>
  <c r="E48" i="1"/>
  <c r="E77" i="1"/>
  <c r="E36" i="1"/>
  <c r="E37" i="1"/>
  <c r="E38" i="1"/>
  <c r="E81" i="1"/>
  <c r="E82" i="1"/>
  <c r="E83" i="1"/>
  <c r="E10" i="1"/>
  <c r="E11" i="1"/>
  <c r="E12" i="1"/>
  <c r="E14" i="1"/>
  <c r="E16" i="1"/>
  <c r="E89" i="1"/>
  <c r="E90" i="1"/>
  <c r="E17" i="1"/>
  <c r="E23" i="1"/>
  <c r="E26" i="1"/>
  <c r="E29" i="1"/>
  <c r="E5" i="1"/>
  <c r="E6" i="1"/>
  <c r="E97" i="1"/>
  <c r="E7" i="1"/>
  <c r="E99" i="1"/>
  <c r="E8" i="1"/>
  <c r="E9" i="1"/>
  <c r="E102" i="1"/>
  <c r="E103" i="1"/>
  <c r="E104" i="1"/>
  <c r="E105" i="1"/>
  <c r="E106" i="1"/>
  <c r="E107" i="1"/>
  <c r="E108" i="1"/>
  <c r="E109" i="1"/>
  <c r="E110" i="1"/>
  <c r="E4" i="1"/>
  <c r="E3" i="1"/>
  <c r="E2" i="1"/>
  <c r="J13" i="1"/>
  <c r="J15" i="1"/>
  <c r="J18" i="1"/>
  <c r="J19" i="1"/>
  <c r="J20" i="1"/>
  <c r="J21" i="1"/>
  <c r="J22" i="1"/>
  <c r="J24" i="1"/>
  <c r="J25" i="1"/>
  <c r="J27" i="1"/>
  <c r="J28" i="1"/>
  <c r="J30" i="1"/>
  <c r="J31" i="1"/>
  <c r="J32" i="1"/>
  <c r="J33" i="1"/>
  <c r="J34" i="1"/>
  <c r="J35" i="1"/>
  <c r="J39" i="1"/>
  <c r="J40" i="1"/>
  <c r="J41" i="1"/>
  <c r="J42" i="1"/>
  <c r="J44" i="1"/>
  <c r="J45" i="1"/>
  <c r="J49" i="1"/>
  <c r="J50" i="1"/>
  <c r="J51" i="1"/>
  <c r="J54" i="1"/>
  <c r="J58" i="1"/>
  <c r="J61" i="1"/>
  <c r="J62" i="1"/>
  <c r="J63" i="1"/>
  <c r="J64" i="1"/>
  <c r="J66" i="1"/>
  <c r="J68" i="1"/>
  <c r="J69" i="1"/>
  <c r="J70" i="1"/>
  <c r="J71" i="1"/>
  <c r="J74" i="1"/>
  <c r="J75" i="1"/>
  <c r="J77" i="1"/>
  <c r="J81" i="1"/>
  <c r="J82" i="1"/>
  <c r="J83" i="1"/>
  <c r="J89" i="1"/>
  <c r="J90" i="1"/>
  <c r="J97" i="1"/>
  <c r="J99" i="1"/>
  <c r="J102" i="1"/>
  <c r="J103" i="1"/>
  <c r="J104" i="1"/>
  <c r="J105" i="1"/>
  <c r="J106" i="1"/>
  <c r="J107" i="1"/>
  <c r="J108" i="1"/>
  <c r="J109" i="1"/>
  <c r="J110" i="1"/>
  <c r="D111" i="1" l="1"/>
  <c r="D23" i="1"/>
  <c r="D66" i="1"/>
  <c r="D22" i="1"/>
  <c r="D105" i="1"/>
  <c r="D91" i="1"/>
  <c r="D77" i="1"/>
  <c r="D63" i="1"/>
  <c r="D47" i="1"/>
  <c r="D19" i="1"/>
  <c r="D90" i="1"/>
  <c r="D60" i="1"/>
  <c r="D32" i="1"/>
  <c r="D103" i="1"/>
  <c r="D89" i="1"/>
  <c r="D75" i="1"/>
  <c r="D59" i="1"/>
  <c r="D45" i="1"/>
  <c r="D31" i="1"/>
  <c r="D17" i="1"/>
  <c r="D108" i="1"/>
  <c r="D80" i="1"/>
  <c r="D36" i="1"/>
  <c r="D33" i="1"/>
  <c r="D104" i="1"/>
  <c r="D76" i="1"/>
  <c r="D46" i="1"/>
  <c r="D18" i="1"/>
  <c r="D102" i="1"/>
  <c r="D88" i="1"/>
  <c r="D72" i="1"/>
  <c r="D58" i="1"/>
  <c r="D44" i="1"/>
  <c r="D30" i="1"/>
  <c r="D16" i="1"/>
  <c r="D100" i="1"/>
  <c r="D84" i="1"/>
  <c r="D70" i="1"/>
  <c r="D56" i="1"/>
  <c r="D42" i="1"/>
  <c r="D28" i="1"/>
  <c r="D11" i="1"/>
  <c r="D113" i="1"/>
  <c r="D99" i="1"/>
  <c r="D83" i="1"/>
  <c r="D69" i="1"/>
  <c r="D55" i="1"/>
  <c r="D41" i="1"/>
  <c r="D27" i="1"/>
  <c r="D10" i="1"/>
  <c r="D112" i="1"/>
  <c r="D96" i="1"/>
  <c r="D82" i="1"/>
  <c r="D68" i="1"/>
  <c r="D54" i="1"/>
  <c r="D40" i="1"/>
  <c r="D24" i="1"/>
  <c r="D9" i="1"/>
  <c r="D8" i="1"/>
  <c r="D7" i="1"/>
  <c r="D6" i="1"/>
  <c r="D95" i="1"/>
  <c r="D81" i="1"/>
  <c r="D67" i="1"/>
  <c r="D53" i="1"/>
  <c r="D39" i="1"/>
  <c r="D94" i="1"/>
  <c r="D52" i="1"/>
  <c r="D107" i="1"/>
  <c r="D93" i="1"/>
  <c r="D79" i="1"/>
  <c r="D65" i="1"/>
  <c r="D51" i="1"/>
  <c r="D35" i="1"/>
  <c r="D21" i="1"/>
  <c r="D106" i="1"/>
  <c r="D92" i="1"/>
  <c r="D78" i="1"/>
  <c r="D64" i="1"/>
  <c r="D48" i="1"/>
  <c r="D34" i="1"/>
  <c r="D20" i="1"/>
  <c r="D5" i="1"/>
  <c r="D4" i="1"/>
  <c r="D3" i="1"/>
  <c r="D110" i="1"/>
  <c r="D98" i="1"/>
  <c r="D86" i="1"/>
  <c r="D74" i="1"/>
  <c r="D62" i="1"/>
  <c r="D50" i="1"/>
  <c r="D38" i="1"/>
  <c r="D26" i="1"/>
  <c r="D14" i="1"/>
  <c r="D2" i="1"/>
  <c r="D109" i="1"/>
  <c r="D97" i="1"/>
  <c r="D85" i="1"/>
  <c r="D73" i="1"/>
  <c r="D61" i="1"/>
  <c r="D49" i="1"/>
  <c r="D37" i="1"/>
  <c r="D25" i="1"/>
  <c r="D13" i="1"/>
  <c r="B17" i="5"/>
  <c r="B16" i="5"/>
  <c r="B12" i="5"/>
  <c r="B11" i="5"/>
  <c r="B10" i="5"/>
  <c r="B13" i="5"/>
  <c r="B8" i="5"/>
  <c r="B7" i="5"/>
  <c r="B6" i="5"/>
  <c r="B5" i="5"/>
  <c r="B4" i="5"/>
  <c r="C118" i="1"/>
  <c r="B118" i="1"/>
  <c r="C117" i="1"/>
  <c r="C116" i="1"/>
  <c r="C115" i="1"/>
  <c r="B117" i="1"/>
  <c r="B116" i="1"/>
  <c r="B115" i="1"/>
  <c r="E118" i="1" l="1"/>
  <c r="E115" i="1"/>
  <c r="E116" i="1"/>
  <c r="E1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C56C1E-19F6-4A95-B6B1-7B7D5810FE90}" keepAlive="1" name="Query - Excel_jumia_dataset" description="Connection to the 'Excel_jumia_dataset' query in the workbook." type="5" refreshedVersion="8" background="1" saveData="1">
    <dbPr connection="Provider=Microsoft.Mashup.OleDb.1;Data Source=$Workbook$;Location=Excel_jumia_dataset;Extended Properties=&quot;&quot;" command="SELECT * FROM [Excel_jumia_dataset]"/>
  </connection>
  <connection id="2" xr16:uid="{AADF7F10-5B60-4CF5-8C11-A544B56AFBF8}" keepAlive="1" name="Query - Excel_jumia_dataset (2)" description="Connection to the 'Excel_jumia_dataset (2)' query in the workbook." type="5" refreshedVersion="8" background="1" saveData="1">
    <dbPr connection="Provider=Microsoft.Mashup.OleDb.1;Data Source=$Workbook$;Location=&quot;Excel_jumia_dataset (2)&quot;;Extended Properties=&quot;&quot;" command="SELECT * FROM [Excel_jumia_dataset (2)]"/>
  </connection>
  <connection id="3" xr16:uid="{D23C1D2B-CDC5-4617-9D21-E21FE51B64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CBEE064-D054-4BA9-ACAC-42CA0EB88996}" name="WorksheetConnection_jumia_product_performance_analysis.xlsx!Excel_jumia_dataset3" type="102" refreshedVersion="8" minRefreshableVersion="5">
    <extLst>
      <ext xmlns:x15="http://schemas.microsoft.com/office/spreadsheetml/2010/11/main" uri="{DE250136-89BD-433C-8126-D09CA5730AF9}">
        <x15:connection id="Excel_jumia_dataset3" autoDelete="1">
          <x15:rangePr sourceName="_xlcn.WorksheetConnection_jumia_product_performance_analysis.xlsxExcel_jumia_dataset31"/>
        </x15:connection>
      </ext>
    </extLst>
  </connection>
</connections>
</file>

<file path=xl/sharedStrings.xml><?xml version="1.0" encoding="utf-8"?>
<sst xmlns="http://schemas.openxmlformats.org/spreadsheetml/2006/main" count="940" uniqueCount="439">
  <si>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</si>
  <si>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</si>
  <si>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</si>
  <si>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</si>
  <si>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</si>
  <si>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</si>
  <si>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</si>
  <si>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</si>
  <si>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</si>
  <si>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</si>
  <si>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</si>
  <si>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</si>
  <si>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</si>
  <si>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</si>
  <si>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</si>
  <si>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</si>
  <si>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</si>
  <si>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</si>
  <si>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</si>
  <si>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</si>
  <si>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</si>
  <si>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</si>
  <si>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</si>
  <si>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</si>
  <si>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</si>
  <si>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</si>
  <si>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</si>
  <si>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</si>
  <si>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</si>
  <si>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</si>
  <si>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</si>
  <si>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</si>
  <si>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</si>
  <si>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</si>
  <si>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</si>
  <si>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</si>
  <si>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</si>
  <si>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</si>
  <si>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</si>
  <si>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</si>
  <si>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</si>
  <si>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</si>
  <si>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</si>
  <si>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</si>
  <si>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</si>
  <si>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</si>
  <si>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</si>
  <si>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</si>
  <si>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</si>
  <si>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</si>
  <si>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</si>
  <si>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</si>
  <si>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</si>
  <si>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</si>
  <si>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</si>
  <si>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</si>
  <si>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</si>
  <si>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</si>
  <si>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</si>
  <si>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</si>
  <si>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</si>
  <si>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</si>
  <si>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</si>
  <si>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</si>
  <si>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</si>
  <si>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</si>
  <si>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</si>
  <si>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</si>
  <si>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</si>
  <si>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</si>
  <si>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</si>
  <si>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</si>
  <si>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</si>
  <si>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</si>
  <si>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</si>
  <si>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</si>
  <si>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</si>
  <si>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</si>
  <si>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</si>
  <si>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</si>
  <si>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</si>
  <si>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</si>
  <si>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</si>
  <si>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</si>
  <si>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</si>
  <si>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</si>
  <si>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</si>
  <si>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</si>
  <si>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</si>
  <si>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</si>
  <si>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</si>
  <si>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</si>
  <si>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</si>
  <si>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</si>
  <si>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</si>
  <si>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</si>
  <si>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</si>
  <si>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</si>
  <si>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</si>
  <si>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</si>
  <si>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</si>
  <si>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</si>
  <si>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</si>
  <si>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</si>
  <si>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</si>
  <si>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</si>
  <si>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</si>
  <si>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</si>
  <si>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</si>
  <si>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</si>
  <si>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</si>
  <si>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</si>
  <si>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</si>
  <si>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</si>
  <si>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</si>
  <si>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</si>
  <si>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</si>
  <si>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</si>
  <si>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</si>
  <si>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</si>
  <si>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</si>
  <si>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</si>
  <si>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</si>
  <si>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</si>
  <si>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</si>
  <si>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</si>
  <si>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</si>
  <si>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</si>
  <si>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</si>
  <si>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</si>
  <si>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</si>
  <si>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</si>
  <si>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</si>
  <si>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</si>
  <si>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</si>
  <si>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</si>
  <si>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</si>
  <si>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</si>
  <si>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</si>
  <si>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</si>
  <si>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</si>
  <si>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</si>
  <si>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</si>
  <si>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</si>
  <si>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</si>
  <si>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</si>
  <si>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</si>
  <si>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</si>
  <si>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</si>
  <si>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</si>
  <si>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</si>
  <si>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</si>
  <si>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</si>
  <si>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</si>
  <si>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</si>
  <si>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</si>
  <si>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</si>
  <si>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</si>
  <si>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</si>
  <si>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</si>
  <si>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</si>
  <si>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</si>
  <si>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</si>
  <si>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</si>
  <si>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</si>
  <si>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</si>
  <si>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</si>
  <si>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</si>
  <si>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</si>
  <si>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</si>
  <si>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</si>
  <si>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</si>
  <si>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</si>
  <si>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</si>
  <si>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</si>
  <si>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</si>
  <si>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</si>
  <si>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</si>
  <si>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</si>
  <si>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</si>
  <si>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</si>
  <si>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</si>
  <si>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</si>
  <si>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</si>
  <si>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</si>
  <si>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</si>
  <si>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</si>
  <si>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</si>
  <si>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</si>
  <si>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</si>
  <si>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</si>
  <si>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</si>
  <si>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</si>
  <si>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</si>
  <si>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</si>
  <si>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</si>
  <si>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</si>
  <si>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</si>
  <si>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</si>
  <si>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</si>
  <si>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</si>
  <si>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</si>
  <si>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</si>
  <si>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</si>
  <si>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</si>
  <si>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</si>
  <si>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</si>
  <si>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</si>
  <si>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</si>
  <si>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</si>
  <si>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</si>
  <si>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</si>
  <si>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</si>
  <si>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</si>
  <si>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</si>
  <si>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</si>
  <si>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</si>
  <si>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</si>
  <si>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</si>
  <si>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</si>
  <si>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</si>
  <si>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</si>
  <si>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</si>
  <si>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</si>
  <si>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</si>
  <si>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</si>
  <si>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</si>
  <si>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</si>
  <si>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</si>
  <si>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</si>
  <si>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</si>
  <si>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</si>
  <si>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</si>
  <si>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</si>
  <si>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</si>
  <si>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</si>
  <si>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</si>
  <si>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</si>
  <si>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</si>
  <si>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</si>
  <si>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</si>
  <si>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</si>
  <si>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</si>
  <si>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</si>
  <si>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</si>
  <si>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</si>
  <si>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</si>
  <si>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</si>
  <si>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</si>
  <si>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</si>
  <si>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</si>
  <si>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</si>
  <si>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</si>
  <si>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</si>
  <si>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</si>
  <si>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</si>
  <si>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</si>
  <si>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</si>
  <si>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</si>
  <si>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</si>
  <si>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</si>
  <si>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</si>
  <si>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</si>
  <si>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</si>
  <si>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</si>
  <si>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</si>
  <si>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</si>
  <si>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</si>
  <si>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</si>
  <si>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</si>
  <si>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</si>
  <si>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</si>
  <si>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</si>
  <si>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</si>
  <si>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</si>
  <si>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</si>
  <si>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</si>
  <si>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</si>
  <si>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</si>
  <si>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</si>
  <si>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</si>
  <si>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</si>
  <si>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</si>
  <si>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</si>
  <si>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</si>
  <si>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</si>
  <si>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</si>
  <si>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</si>
  <si>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</si>
  <si>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</si>
  <si>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</si>
  <si>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</si>
  <si>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</si>
  <si>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</si>
  <si>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</si>
  <si>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</si>
  <si>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</si>
  <si>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</si>
  <si>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</si>
  <si>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</si>
  <si>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</si>
  <si>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</si>
  <si>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</si>
  <si>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</si>
  <si>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</si>
  <si>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</si>
  <si>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</si>
  <si>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</si>
  <si>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</si>
  <si>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</si>
  <si>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</si>
  <si>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</si>
  <si>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</si>
  <si>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</si>
  <si>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</si>
  <si>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</si>
  <si>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</si>
  <si>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</si>
  <si>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</si>
  <si>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</si>
  <si>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</si>
  <si>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</si>
  <si>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</si>
  <si>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</si>
  <si>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Issue</t>
  </si>
  <si>
    <t>Decision</t>
  </si>
  <si>
    <t>Reason</t>
  </si>
  <si>
    <t>Columns/Rows Affected</t>
  </si>
  <si>
    <t>Duplicates</t>
  </si>
  <si>
    <t>Column A</t>
  </si>
  <si>
    <t>Remove Duplicates using the data tools</t>
  </si>
  <si>
    <t>Discount Amount</t>
  </si>
  <si>
    <t>Old Price</t>
  </si>
  <si>
    <t>Current Price</t>
  </si>
  <si>
    <t>Rating</t>
  </si>
  <si>
    <t>Discount Amount not provided</t>
  </si>
  <si>
    <t>Columns B and C</t>
  </si>
  <si>
    <t>It will be important in our analysis</t>
  </si>
  <si>
    <t>Include a column to for the discount amount</t>
  </si>
  <si>
    <t>Discount presented in decimal point</t>
  </si>
  <si>
    <t>Column E</t>
  </si>
  <si>
    <t>Convert to rate</t>
  </si>
  <si>
    <t>Reviews presented as negative</t>
  </si>
  <si>
    <t>Column F</t>
  </si>
  <si>
    <t>Remove the -ve sign by replacing with blank</t>
  </si>
  <si>
    <t>Ratings include out of 5</t>
  </si>
  <si>
    <t>Column G</t>
  </si>
  <si>
    <t>Replace out of 5 with blank (Ctrl H, Replace all)</t>
  </si>
  <si>
    <t>Rating Category</t>
  </si>
  <si>
    <t>Price Category</t>
  </si>
  <si>
    <t>Discount Category</t>
  </si>
  <si>
    <t xml:space="preserve">The price range provided for one of the products </t>
  </si>
  <si>
    <t xml:space="preserve">Row 40 </t>
  </si>
  <si>
    <t>Impossible to determine the price of the item</t>
  </si>
  <si>
    <t>Max</t>
  </si>
  <si>
    <t>Min</t>
  </si>
  <si>
    <t>Average</t>
  </si>
  <si>
    <t>Median</t>
  </si>
  <si>
    <t>Average Current Price of Product</t>
  </si>
  <si>
    <t>Average Old Price of Products</t>
  </si>
  <si>
    <t>Average Product Rating</t>
  </si>
  <si>
    <t>Total Number of Products</t>
  </si>
  <si>
    <t>Total Number of Reviews</t>
  </si>
  <si>
    <t>Average discount percentage</t>
  </si>
  <si>
    <t>Least Expensive Products</t>
  </si>
  <si>
    <t>Most Expensive Product</t>
  </si>
  <si>
    <t>Most Expensive Product by Value</t>
  </si>
  <si>
    <t>Least Expensive Product by Value</t>
  </si>
  <si>
    <t>Description</t>
  </si>
  <si>
    <t>Value</t>
  </si>
  <si>
    <t>Medium</t>
  </si>
  <si>
    <t>Grand Total</t>
  </si>
  <si>
    <t>Count of Rating</t>
  </si>
  <si>
    <t>Sum of Review</t>
  </si>
  <si>
    <t>High</t>
  </si>
  <si>
    <t>No</t>
  </si>
  <si>
    <t>Excellent</t>
  </si>
  <si>
    <t>Poor</t>
  </si>
  <si>
    <t>Identify the top 5 products with the highest ratings.</t>
  </si>
  <si>
    <t>Delete (though I don't thnk we are supposed to delete any data items)</t>
  </si>
  <si>
    <t>Reviews</t>
  </si>
  <si>
    <t>Products</t>
  </si>
  <si>
    <t>Identify the top 5 producs with the lowest ratings</t>
  </si>
  <si>
    <t>Identified the top five products with the lowest ratings using  the sort function; in ascending order.</t>
  </si>
  <si>
    <t>Identified the top five products with the highest ratings using  the sort function in descending order.</t>
  </si>
  <si>
    <t>Seller Performance Analysis</t>
  </si>
  <si>
    <t>Strong Customer demand dependendent on high reviews</t>
  </si>
  <si>
    <t>Products the may require better pricing or marketing strategies - based on the least reviews.</t>
  </si>
  <si>
    <t>Descriptive Statistics</t>
  </si>
  <si>
    <t>The ones with the highest reviews.</t>
  </si>
  <si>
    <t>The ones with the lowest reviews; some have high ratings; all fall under high discount category</t>
  </si>
  <si>
    <t>No, most have Excellent Ratings with High Rating Scores</t>
  </si>
  <si>
    <t>The Ratings and Reviews columns that are blank, could be missing data due to data collection errors, but also; a lot of people do not leave reviews/ratings for products</t>
  </si>
  <si>
    <t>Some with the highest discounted amounts have poor ratings, average ratings and low reviews of up to 3.</t>
  </si>
  <si>
    <t>High Discount + Low Engagement</t>
  </si>
  <si>
    <t>High Reviews vs Average Ratings</t>
  </si>
  <si>
    <t>Strong Customer Demans vs Reviews</t>
  </si>
  <si>
    <t>Products requiring better pricing or marketing strategies?</t>
  </si>
  <si>
    <t>Seller / Product Performance Flags</t>
  </si>
  <si>
    <t>Count</t>
  </si>
  <si>
    <t>Rule</t>
  </si>
  <si>
    <t>Meaning</t>
  </si>
  <si>
    <t>Strong customer engagement</t>
  </si>
  <si>
    <t>Reviews &gt;= 8</t>
  </si>
  <si>
    <t>Higher observed demand/interaction</t>
  </si>
  <si>
    <t>High discount + low rating</t>
  </si>
  <si>
    <t>Discount &gt;40% and Rating &lt;3</t>
  </si>
  <si>
    <t>Promotion may not solve satisfaction problems</t>
  </si>
  <si>
    <t>Many reviews + average rating</t>
  </si>
  <si>
    <t>Reviews &gt;=8 and Rating 3.0-4.5</t>
  </si>
  <si>
    <t>Popular but customer experience can improve</t>
  </si>
  <si>
    <t>High discount + low engagement</t>
  </si>
  <si>
    <t>Discount &gt;40% and Reviews &lt;8</t>
  </si>
  <si>
    <t>Discount alone is not generating engagement</t>
  </si>
  <si>
    <t>Total Products</t>
  </si>
  <si>
    <t>Price_Q1</t>
  </si>
  <si>
    <t>Price_Q2</t>
  </si>
  <si>
    <t>Trend Analysis (Correlation)</t>
  </si>
  <si>
    <t>Does a higher discount percentage result in more customer reviews (Discount vs Review)</t>
  </si>
  <si>
    <t>Do highly rated products receive more customer reviews (Rating vs Review)</t>
  </si>
  <si>
    <t>Are expensive products rated higher than cheaper products (Current Proce vs Rating)</t>
  </si>
  <si>
    <t>Slight</t>
  </si>
  <si>
    <t>Row Labels</t>
  </si>
  <si>
    <t>Count of Product</t>
  </si>
  <si>
    <t>High Discount</t>
  </si>
  <si>
    <t>Low Discount</t>
  </si>
  <si>
    <t>Medium Discount</t>
  </si>
  <si>
    <t>Average of Rating</t>
  </si>
  <si>
    <t>Not Provided</t>
  </si>
  <si>
    <t>Average of Discount</t>
  </si>
  <si>
    <t>High Price</t>
  </si>
  <si>
    <t>Low Price</t>
  </si>
  <si>
    <t>Medium Price</t>
  </si>
  <si>
    <t>Anti-Skid Absorbent Insulation Coaster For Home Office</t>
  </si>
  <si>
    <t>Peacock Throw Pillow Cushion Case For Home Car</t>
  </si>
  <si>
    <t>Top 10 Products by Rating</t>
  </si>
  <si>
    <t>Top 10 Products by Number of Reviews</t>
  </si>
  <si>
    <t>Intelligent LED Body Sensor Wireless Lighting Night Light USB</t>
  </si>
  <si>
    <t>Used Scatter charts to show the relationships in the trend analysis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</si>
</sst>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Ksh&quot;#,##0.00;\-&quot;Ksh&quot;#,##0.00"/>
    <numFmt numFmtId="43" formatCode="_-* #,##0.00_-;\-* #,##0.00_-;_-* &quot;-&quot;??_-;_-@_-"/>
    <numFmt numFmtId="164" formatCode="&quot;Ksh&quot;#,##0.00"/>
    <numFmt numFmtId="175" formatCode="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Calibri"/>
      <family val="2"/>
    </font>
    <font>
      <b/>
      <sz val="11"/>
      <name val="Calibri"/>
      <family val="2"/>
    </font>
    <font>
      <sz val="11"/>
      <name val="Aptos Narrow"/>
      <family val="2"/>
      <scheme val="minor"/>
    </font>
    <font>
      <b/>
      <sz val="1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D757"/>
        <bgColor indexed="64"/>
      </patternFill>
    </fill>
    <fill>
      <patternFill patternType="solid">
        <fgColor rgb="FFEAA36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0">
    <xf numFmtId="0" fontId="0" fillId="0" borderId="0" xfId="0"/>
    <xf numFmtId="164" fontId="0" fillId="0" borderId="0" xfId="0" applyNumberFormat="1"/>
    <xf numFmtId="9" fontId="0" fillId="0" borderId="0" xfId="2" applyFont="1"/>
    <xf numFmtId="0" fontId="2" fillId="0" borderId="0" xfId="0" applyFont="1"/>
    <xf numFmtId="0" fontId="2" fillId="0" borderId="0" xfId="0" applyFont="1" applyAlignment="1">
      <alignment horizontal="right"/>
    </xf>
    <xf numFmtId="164" fontId="2" fillId="0" borderId="0" xfId="0" applyNumberFormat="1" applyFont="1"/>
    <xf numFmtId="0" fontId="0" fillId="0" borderId="0" xfId="0" applyAlignment="1">
      <alignment horizontal="left"/>
    </xf>
    <xf numFmtId="0" fontId="0" fillId="0" borderId="0" xfId="0" applyNumberFormat="1"/>
    <xf numFmtId="0" fontId="0" fillId="0" borderId="0" xfId="2" applyNumberFormat="1" applyFont="1"/>
    <xf numFmtId="0" fontId="3" fillId="3" borderId="0" xfId="0" applyFont="1" applyFill="1"/>
    <xf numFmtId="0" fontId="4" fillId="0" borderId="0" xfId="0" applyFont="1"/>
    <xf numFmtId="0" fontId="3" fillId="4" borderId="1" xfId="0" applyFont="1" applyFill="1" applyBorder="1"/>
    <xf numFmtId="0" fontId="3" fillId="4" borderId="1" xfId="0" applyFont="1" applyFill="1" applyBorder="1" applyAlignment="1">
      <alignment horizontal="center"/>
    </xf>
    <xf numFmtId="0" fontId="4" fillId="0" borderId="0" xfId="0" applyFont="1" applyBorder="1"/>
    <xf numFmtId="0" fontId="3" fillId="2" borderId="1" xfId="0" applyFont="1" applyFill="1" applyBorder="1"/>
    <xf numFmtId="0" fontId="3" fillId="2" borderId="1" xfId="0" applyFont="1" applyFill="1" applyBorder="1" applyAlignment="1">
      <alignment horizontal="center"/>
    </xf>
    <xf numFmtId="0" fontId="3" fillId="0" borderId="1" xfId="0" applyFont="1" applyBorder="1"/>
    <xf numFmtId="7" fontId="4" fillId="0" borderId="1" xfId="1" applyNumberFormat="1" applyFont="1" applyBorder="1"/>
    <xf numFmtId="7" fontId="4" fillId="0" borderId="0" xfId="1" applyNumberFormat="1" applyFont="1" applyBorder="1"/>
    <xf numFmtId="9" fontId="4" fillId="0" borderId="1" xfId="2" applyFont="1" applyBorder="1"/>
    <xf numFmtId="9" fontId="4" fillId="0" borderId="0" xfId="2" applyFont="1" applyBorder="1"/>
    <xf numFmtId="2" fontId="4" fillId="0" borderId="1" xfId="0" applyNumberFormat="1" applyFont="1" applyBorder="1"/>
    <xf numFmtId="2" fontId="4" fillId="0" borderId="0" xfId="0" applyNumberFormat="1" applyFont="1" applyBorder="1"/>
    <xf numFmtId="0" fontId="4" fillId="0" borderId="1" xfId="0" applyFont="1" applyBorder="1"/>
    <xf numFmtId="43" fontId="4" fillId="0" borderId="1" xfId="1" applyFont="1" applyBorder="1"/>
    <xf numFmtId="43" fontId="4" fillId="0" borderId="0" xfId="1" applyFont="1" applyBorder="1"/>
    <xf numFmtId="0" fontId="3" fillId="3" borderId="1" xfId="0" applyFont="1" applyFill="1" applyBorder="1"/>
    <xf numFmtId="0" fontId="3" fillId="0" borderId="1" xfId="0" applyFont="1" applyBorder="1" applyAlignment="1">
      <alignment wrapText="1"/>
    </xf>
    <xf numFmtId="0" fontId="3" fillId="0" borderId="0" xfId="0" applyFont="1"/>
    <xf numFmtId="164" fontId="4" fillId="0" borderId="1" xfId="0" applyNumberFormat="1" applyFont="1" applyBorder="1"/>
    <xf numFmtId="164" fontId="4" fillId="0" borderId="0" xfId="0" applyNumberFormat="1" applyFont="1"/>
    <xf numFmtId="9" fontId="4" fillId="0" borderId="0" xfId="2" applyFont="1"/>
    <xf numFmtId="0" fontId="3" fillId="6" borderId="0" xfId="0" applyFont="1" applyFill="1"/>
    <xf numFmtId="0" fontId="5" fillId="0" borderId="0" xfId="0" applyFont="1"/>
    <xf numFmtId="0" fontId="6" fillId="6" borderId="1" xfId="0" applyFont="1" applyFill="1" applyBorder="1" applyAlignment="1">
      <alignment horizontal="left" vertical="center" wrapText="1"/>
    </xf>
    <xf numFmtId="0" fontId="4" fillId="0" borderId="1" xfId="0" applyFont="1" applyBorder="1" applyAlignment="1">
      <alignment wrapText="1"/>
    </xf>
    <xf numFmtId="0" fontId="4" fillId="0" borderId="0" xfId="0" applyFont="1" applyAlignment="1">
      <alignment wrapText="1"/>
    </xf>
    <xf numFmtId="0" fontId="6" fillId="6" borderId="1" xfId="0" applyFont="1" applyFill="1" applyBorder="1" applyAlignment="1">
      <alignment horizontal="center" vertical="center" wrapText="1"/>
    </xf>
    <xf numFmtId="0" fontId="0" fillId="7" borderId="0" xfId="0" applyFill="1"/>
    <xf numFmtId="0" fontId="0" fillId="7" borderId="0" xfId="0" applyFill="1" applyAlignment="1">
      <alignment horizontal="left"/>
    </xf>
    <xf numFmtId="0" fontId="0" fillId="7" borderId="0" xfId="0" applyNumberFormat="1" applyFill="1"/>
    <xf numFmtId="0" fontId="7" fillId="7" borderId="0" xfId="0" applyFont="1" applyFill="1"/>
    <xf numFmtId="9" fontId="0" fillId="0" borderId="0" xfId="0" applyNumberFormat="1"/>
    <xf numFmtId="0" fontId="0" fillId="2" borderId="0" xfId="0" applyNumberFormat="1" applyFill="1"/>
    <xf numFmtId="175" fontId="0" fillId="0" borderId="0" xfId="0" applyNumberFormat="1"/>
    <xf numFmtId="1" fontId="0" fillId="0" borderId="0" xfId="0" applyNumberFormat="1"/>
    <xf numFmtId="0" fontId="8" fillId="7" borderId="0" xfId="0" applyFont="1" applyFill="1"/>
    <xf numFmtId="9" fontId="0" fillId="7" borderId="0" xfId="0" applyNumberFormat="1" applyFill="1"/>
    <xf numFmtId="0" fontId="0" fillId="5" borderId="0" xfId="0" applyFill="1"/>
    <xf numFmtId="1" fontId="4" fillId="0" borderId="1" xfId="0" applyNumberFormat="1" applyFont="1" applyBorder="1"/>
  </cellXfs>
  <cellStyles count="3">
    <cellStyle name="Comma" xfId="1" builtinId="3"/>
    <cellStyle name="Normal" xfId="0" builtinId="0"/>
    <cellStyle name="Percent" xfId="2" builtinId="5"/>
  </cellStyles>
  <dxfs count="75">
    <dxf>
      <fill>
        <patternFill patternType="solid">
          <bgColor rgb="FFFFC000"/>
        </patternFill>
      </fill>
    </dxf>
    <dxf>
      <fill>
        <patternFill patternType="solid">
          <bgColor rgb="FFFFC000"/>
        </patternFill>
      </fill>
    </dxf>
    <dxf>
      <fill>
        <patternFill patternType="solid">
          <bgColor rgb="FFFFC000"/>
        </patternFill>
      </fill>
    </dxf>
    <dxf>
      <font>
        <color auto="1"/>
      </font>
    </dxf>
    <dxf>
      <fill>
        <patternFill>
          <bgColor rgb="FFEAA368"/>
        </patternFill>
      </fill>
    </dxf>
    <dxf>
      <fill>
        <patternFill>
          <bgColor rgb="FFEAA368"/>
        </patternFill>
      </fill>
    </dxf>
    <dxf>
      <fill>
        <patternFill>
          <bgColor rgb="FFEAA368"/>
        </patternFill>
      </fill>
    </dxf>
    <dxf>
      <fill>
        <patternFill patternType="solid">
          <bgColor rgb="FFEAA368"/>
        </patternFill>
      </fill>
    </dxf>
    <dxf>
      <fill>
        <patternFill patternType="solid">
          <fgColor indexed="64"/>
          <bgColor rgb="FFEAA368"/>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EAA368"/>
        </patternFill>
      </fill>
    </dxf>
    <dxf>
      <fill>
        <patternFill>
          <bgColor rgb="FFEAA368"/>
        </patternFill>
      </fill>
    </dxf>
    <dxf>
      <fill>
        <patternFill>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ill>
        <patternFill patternType="solid">
          <bgColor rgb="FFEAA368"/>
        </patternFill>
      </fill>
    </dxf>
    <dxf>
      <font>
        <b/>
      </font>
    </dxf>
    <dxf>
      <font>
        <color auto="1"/>
      </font>
    </dxf>
    <dxf>
      <numFmt numFmtId="175" formatCode="0.0"/>
    </dxf>
    <dxf>
      <numFmt numFmtId="0" formatCode="General"/>
    </dxf>
    <dxf>
      <numFmt numFmtId="1" formatCode="0"/>
    </dxf>
    <dxf>
      <numFmt numFmtId="0" formatCode="General"/>
    </dxf>
    <dxf>
      <fill>
        <patternFill>
          <bgColor theme="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EAA368"/>
        </patternFill>
      </fill>
    </dxf>
    <dxf>
      <fill>
        <patternFill>
          <bgColor rgb="FFEAA368"/>
        </patternFill>
      </fill>
    </dxf>
    <dxf>
      <fill>
        <patternFill>
          <bgColor rgb="FFEAA368"/>
        </patternFill>
      </fill>
    </dxf>
    <dxf>
      <numFmt numFmtId="0" formatCode="Genera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EAA368"/>
        </patternFill>
      </fill>
    </dxf>
    <dxf>
      <fill>
        <patternFill>
          <bgColor rgb="FFEAA368"/>
        </patternFill>
      </fill>
    </dxf>
    <dxf>
      <fill>
        <patternFill>
          <bgColor rgb="FFEAA368"/>
        </patternFill>
      </fill>
    </dxf>
    <dxf>
      <fill>
        <patternFill>
          <bgColor rgb="FFEAA368"/>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color auto="1"/>
      </font>
    </dxf>
    <dxf>
      <font>
        <color auto="1"/>
      </font>
    </dxf>
    <dxf>
      <fill>
        <patternFill>
          <bgColor rgb="FFEAA368"/>
        </patternFill>
      </fill>
    </dxf>
    <dxf>
      <fill>
        <patternFill>
          <bgColor rgb="FFEAA368"/>
        </patternFill>
      </fill>
    </dxf>
    <dxf>
      <fill>
        <patternFill>
          <bgColor rgb="FFEAA368"/>
        </patternFill>
      </fill>
    </dxf>
    <dxf>
      <fill>
        <patternFill>
          <bgColor rgb="FFEAA368"/>
        </patternFill>
      </fill>
    </dxf>
    <dxf>
      <fill>
        <patternFill patternType="solid">
          <bgColor rgb="FFFFC000"/>
        </patternFill>
      </fill>
    </dxf>
    <dxf>
      <fill>
        <patternFill patternType="solid">
          <bgColor rgb="FFFFC000"/>
        </patternFill>
      </fill>
    </dxf>
    <dxf>
      <fill>
        <patternFill patternType="solid">
          <bgColor rgb="FFFFC000"/>
        </patternFill>
      </fill>
    </dxf>
    <dxf>
      <font>
        <color auto="1"/>
      </font>
    </dxf>
    <dxf>
      <fill>
        <patternFill>
          <bgColor rgb="FFEAA368"/>
        </patternFill>
      </fill>
    </dxf>
    <dxf>
      <fill>
        <patternFill>
          <bgColor rgb="FFEAA368"/>
        </patternFill>
      </fill>
    </dxf>
    <dxf>
      <fill>
        <patternFill>
          <bgColor rgb="FFEAA368"/>
        </patternFill>
      </fill>
    </dxf>
    <dxf>
      <fill>
        <patternFill patternType="solid">
          <bgColor rgb="FFEAA368"/>
        </patternFill>
      </fill>
    </dxf>
    <dxf>
      <numFmt numFmtId="164" formatCode="&quot;Ksh&quot;#,##0.00"/>
    </dxf>
    <dxf>
      <numFmt numFmtId="164" formatCode="&quot;Ksh&quot;#,##0.00"/>
    </dxf>
    <dxf>
      <numFmt numFmtId="164" formatCode="&quot;Ksh&quot;#,##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AA368"/>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Cleaned_Data!$I$1:$I$12</c:f>
              <c:strCache>
                <c:ptCount val="12"/>
                <c:pt idx="0">
                  <c:v>Rating</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Cleaned_Data!$B$13:$B$118</c:f>
              <c:numCache>
                <c:formatCode>"Ksh"#,##0.00</c:formatCode>
                <c:ptCount val="106"/>
                <c:pt idx="0">
                  <c:v>2999</c:v>
                </c:pt>
                <c:pt idx="1">
                  <c:v>525</c:v>
                </c:pt>
                <c:pt idx="2">
                  <c:v>2170</c:v>
                </c:pt>
                <c:pt idx="3">
                  <c:v>475</c:v>
                </c:pt>
                <c:pt idx="4">
                  <c:v>274</c:v>
                </c:pt>
                <c:pt idx="5">
                  <c:v>2880</c:v>
                </c:pt>
                <c:pt idx="6">
                  <c:v>2999</c:v>
                </c:pt>
                <c:pt idx="7">
                  <c:v>799</c:v>
                </c:pt>
                <c:pt idx="8">
                  <c:v>3640</c:v>
                </c:pt>
                <c:pt idx="9">
                  <c:v>1220</c:v>
                </c:pt>
                <c:pt idx="10">
                  <c:v>248</c:v>
                </c:pt>
                <c:pt idx="11">
                  <c:v>1650</c:v>
                </c:pt>
                <c:pt idx="12">
                  <c:v>2319</c:v>
                </c:pt>
                <c:pt idx="13">
                  <c:v>230</c:v>
                </c:pt>
                <c:pt idx="14">
                  <c:v>2199</c:v>
                </c:pt>
                <c:pt idx="15">
                  <c:v>1740</c:v>
                </c:pt>
                <c:pt idx="16">
                  <c:v>176</c:v>
                </c:pt>
                <c:pt idx="17">
                  <c:v>1980</c:v>
                </c:pt>
                <c:pt idx="18">
                  <c:v>1940</c:v>
                </c:pt>
                <c:pt idx="19">
                  <c:v>2300</c:v>
                </c:pt>
                <c:pt idx="20">
                  <c:v>1758</c:v>
                </c:pt>
                <c:pt idx="21">
                  <c:v>1350</c:v>
                </c:pt>
                <c:pt idx="22">
                  <c:v>1680</c:v>
                </c:pt>
                <c:pt idx="23">
                  <c:v>1300</c:v>
                </c:pt>
                <c:pt idx="24">
                  <c:v>699</c:v>
                </c:pt>
                <c:pt idx="25">
                  <c:v>105</c:v>
                </c:pt>
                <c:pt idx="26">
                  <c:v>990</c:v>
                </c:pt>
                <c:pt idx="27">
                  <c:v>980</c:v>
                </c:pt>
                <c:pt idx="28">
                  <c:v>880</c:v>
                </c:pt>
                <c:pt idx="29">
                  <c:v>420</c:v>
                </c:pt>
                <c:pt idx="30">
                  <c:v>899</c:v>
                </c:pt>
                <c:pt idx="31">
                  <c:v>1580</c:v>
                </c:pt>
                <c:pt idx="32">
                  <c:v>988</c:v>
                </c:pt>
                <c:pt idx="33">
                  <c:v>1800</c:v>
                </c:pt>
                <c:pt idx="34">
                  <c:v>790</c:v>
                </c:pt>
                <c:pt idx="35">
                  <c:v>169</c:v>
                </c:pt>
                <c:pt idx="36">
                  <c:v>950</c:v>
                </c:pt>
                <c:pt idx="37">
                  <c:v>3750</c:v>
                </c:pt>
                <c:pt idx="38">
                  <c:v>1620</c:v>
                </c:pt>
                <c:pt idx="39">
                  <c:v>2200</c:v>
                </c:pt>
                <c:pt idx="40">
                  <c:v>499</c:v>
                </c:pt>
                <c:pt idx="41">
                  <c:v>389</c:v>
                </c:pt>
                <c:pt idx="42">
                  <c:v>690</c:v>
                </c:pt>
                <c:pt idx="43">
                  <c:v>630</c:v>
                </c:pt>
                <c:pt idx="44">
                  <c:v>1860</c:v>
                </c:pt>
                <c:pt idx="45">
                  <c:v>501</c:v>
                </c:pt>
                <c:pt idx="46">
                  <c:v>1080</c:v>
                </c:pt>
                <c:pt idx="47">
                  <c:v>610</c:v>
                </c:pt>
                <c:pt idx="48">
                  <c:v>509</c:v>
                </c:pt>
                <c:pt idx="49">
                  <c:v>345</c:v>
                </c:pt>
                <c:pt idx="50">
                  <c:v>1600</c:v>
                </c:pt>
                <c:pt idx="51">
                  <c:v>990</c:v>
                </c:pt>
                <c:pt idx="52">
                  <c:v>1420</c:v>
                </c:pt>
                <c:pt idx="53">
                  <c:v>382</c:v>
                </c:pt>
                <c:pt idx="54">
                  <c:v>799</c:v>
                </c:pt>
                <c:pt idx="55">
                  <c:v>1189</c:v>
                </c:pt>
                <c:pt idx="56">
                  <c:v>195</c:v>
                </c:pt>
                <c:pt idx="57">
                  <c:v>1570</c:v>
                </c:pt>
                <c:pt idx="58">
                  <c:v>968</c:v>
                </c:pt>
                <c:pt idx="59">
                  <c:v>2750</c:v>
                </c:pt>
                <c:pt idx="60">
                  <c:v>1200</c:v>
                </c:pt>
                <c:pt idx="61">
                  <c:v>552</c:v>
                </c:pt>
                <c:pt idx="62">
                  <c:v>527</c:v>
                </c:pt>
                <c:pt idx="63">
                  <c:v>1460</c:v>
                </c:pt>
                <c:pt idx="64">
                  <c:v>1820</c:v>
                </c:pt>
                <c:pt idx="65">
                  <c:v>1190</c:v>
                </c:pt>
                <c:pt idx="66">
                  <c:v>1150</c:v>
                </c:pt>
                <c:pt idx="67">
                  <c:v>1190</c:v>
                </c:pt>
                <c:pt idx="68">
                  <c:v>2025</c:v>
                </c:pt>
                <c:pt idx="69">
                  <c:v>998</c:v>
                </c:pt>
                <c:pt idx="70">
                  <c:v>979</c:v>
                </c:pt>
                <c:pt idx="71">
                  <c:v>2799</c:v>
                </c:pt>
                <c:pt idx="72">
                  <c:v>198</c:v>
                </c:pt>
                <c:pt idx="73">
                  <c:v>299</c:v>
                </c:pt>
                <c:pt idx="74">
                  <c:v>1466</c:v>
                </c:pt>
                <c:pt idx="75">
                  <c:v>1468</c:v>
                </c:pt>
                <c:pt idx="76">
                  <c:v>445</c:v>
                </c:pt>
                <c:pt idx="77">
                  <c:v>330</c:v>
                </c:pt>
                <c:pt idx="78">
                  <c:v>799</c:v>
                </c:pt>
                <c:pt idx="79">
                  <c:v>1526</c:v>
                </c:pt>
                <c:pt idx="80">
                  <c:v>3546</c:v>
                </c:pt>
                <c:pt idx="81">
                  <c:v>1732</c:v>
                </c:pt>
                <c:pt idx="82">
                  <c:v>1459</c:v>
                </c:pt>
                <c:pt idx="83">
                  <c:v>1658</c:v>
                </c:pt>
                <c:pt idx="84">
                  <c:v>1000</c:v>
                </c:pt>
                <c:pt idx="85">
                  <c:v>1660</c:v>
                </c:pt>
                <c:pt idx="86">
                  <c:v>450</c:v>
                </c:pt>
                <c:pt idx="87">
                  <c:v>2132</c:v>
                </c:pt>
                <c:pt idx="88">
                  <c:v>1462</c:v>
                </c:pt>
                <c:pt idx="89">
                  <c:v>332</c:v>
                </c:pt>
                <c:pt idx="90">
                  <c:v>325</c:v>
                </c:pt>
                <c:pt idx="91">
                  <c:v>185</c:v>
                </c:pt>
                <c:pt idx="92">
                  <c:v>171</c:v>
                </c:pt>
                <c:pt idx="93">
                  <c:v>38</c:v>
                </c:pt>
                <c:pt idx="94">
                  <c:v>2048</c:v>
                </c:pt>
                <c:pt idx="95">
                  <c:v>458</c:v>
                </c:pt>
                <c:pt idx="96">
                  <c:v>2115</c:v>
                </c:pt>
                <c:pt idx="97">
                  <c:v>1274</c:v>
                </c:pt>
                <c:pt idx="98">
                  <c:v>1666</c:v>
                </c:pt>
                <c:pt idx="99">
                  <c:v>1768</c:v>
                </c:pt>
                <c:pt idx="100">
                  <c:v>1875</c:v>
                </c:pt>
                <c:pt idx="102">
                  <c:v>3750</c:v>
                </c:pt>
                <c:pt idx="103">
                  <c:v>38</c:v>
                </c:pt>
                <c:pt idx="104">
                  <c:v>1186.8928571428571</c:v>
                </c:pt>
                <c:pt idx="105">
                  <c:v>998.5</c:v>
                </c:pt>
              </c:numCache>
            </c:numRef>
          </c:xVal>
          <c:yVal>
            <c:numRef>
              <c:f>Cleaned_Data!$I$13:$I$118</c:f>
              <c:numCache>
                <c:formatCode>0.0</c:formatCode>
                <c:ptCount val="106"/>
                <c:pt idx="0">
                  <c:v>4</c:v>
                </c:pt>
                <c:pt idx="1">
                  <c:v>0</c:v>
                </c:pt>
                <c:pt idx="2">
                  <c:v>2.5</c:v>
                </c:pt>
                <c:pt idx="3">
                  <c:v>0</c:v>
                </c:pt>
                <c:pt idx="4">
                  <c:v>0</c:v>
                </c:pt>
                <c:pt idx="5">
                  <c:v>3.8</c:v>
                </c:pt>
                <c:pt idx="6">
                  <c:v>4.5999999999999996</c:v>
                </c:pt>
                <c:pt idx="7">
                  <c:v>4.0999999999999996</c:v>
                </c:pt>
                <c:pt idx="8">
                  <c:v>5</c:v>
                </c:pt>
                <c:pt idx="9">
                  <c:v>2.9</c:v>
                </c:pt>
                <c:pt idx="10">
                  <c:v>0</c:v>
                </c:pt>
                <c:pt idx="11">
                  <c:v>4.4000000000000004</c:v>
                </c:pt>
                <c:pt idx="12">
                  <c:v>4.5999999999999996</c:v>
                </c:pt>
                <c:pt idx="13">
                  <c:v>0</c:v>
                </c:pt>
                <c:pt idx="14">
                  <c:v>4.5999999999999996</c:v>
                </c:pt>
                <c:pt idx="15">
                  <c:v>4.8</c:v>
                </c:pt>
                <c:pt idx="16">
                  <c:v>0</c:v>
                </c:pt>
                <c:pt idx="17">
                  <c:v>4.5</c:v>
                </c:pt>
                <c:pt idx="18">
                  <c:v>4.7</c:v>
                </c:pt>
                <c:pt idx="19">
                  <c:v>3</c:v>
                </c:pt>
                <c:pt idx="20">
                  <c:v>4.0999999999999996</c:v>
                </c:pt>
                <c:pt idx="21">
                  <c:v>3.8</c:v>
                </c:pt>
                <c:pt idx="22">
                  <c:v>4.2</c:v>
                </c:pt>
                <c:pt idx="23">
                  <c:v>0</c:v>
                </c:pt>
                <c:pt idx="24">
                  <c:v>0</c:v>
                </c:pt>
                <c:pt idx="25">
                  <c:v>0</c:v>
                </c:pt>
                <c:pt idx="26">
                  <c:v>4.7</c:v>
                </c:pt>
                <c:pt idx="27">
                  <c:v>4.7</c:v>
                </c:pt>
                <c:pt idx="28">
                  <c:v>4</c:v>
                </c:pt>
                <c:pt idx="29">
                  <c:v>4.5999999999999996</c:v>
                </c:pt>
                <c:pt idx="30">
                  <c:v>0</c:v>
                </c:pt>
                <c:pt idx="31">
                  <c:v>4.7</c:v>
                </c:pt>
                <c:pt idx="32">
                  <c:v>4</c:v>
                </c:pt>
                <c:pt idx="33">
                  <c:v>4.5</c:v>
                </c:pt>
                <c:pt idx="34">
                  <c:v>0</c:v>
                </c:pt>
                <c:pt idx="35">
                  <c:v>0</c:v>
                </c:pt>
                <c:pt idx="36">
                  <c:v>4.5</c:v>
                </c:pt>
                <c:pt idx="37">
                  <c:v>3</c:v>
                </c:pt>
                <c:pt idx="38">
                  <c:v>5</c:v>
                </c:pt>
                <c:pt idx="39">
                  <c:v>0</c:v>
                </c:pt>
                <c:pt idx="40">
                  <c:v>0</c:v>
                </c:pt>
                <c:pt idx="41">
                  <c:v>4.3</c:v>
                </c:pt>
                <c:pt idx="42">
                  <c:v>0</c:v>
                </c:pt>
                <c:pt idx="43">
                  <c:v>0</c:v>
                </c:pt>
                <c:pt idx="44">
                  <c:v>0</c:v>
                </c:pt>
                <c:pt idx="45">
                  <c:v>4.5</c:v>
                </c:pt>
                <c:pt idx="46">
                  <c:v>0</c:v>
                </c:pt>
                <c:pt idx="47">
                  <c:v>0</c:v>
                </c:pt>
                <c:pt idx="48">
                  <c:v>3</c:v>
                </c:pt>
                <c:pt idx="49">
                  <c:v>2.2999999999999998</c:v>
                </c:pt>
                <c:pt idx="50">
                  <c:v>3.8</c:v>
                </c:pt>
                <c:pt idx="51">
                  <c:v>2.2000000000000002</c:v>
                </c:pt>
                <c:pt idx="52">
                  <c:v>0</c:v>
                </c:pt>
                <c:pt idx="53">
                  <c:v>2.6</c:v>
                </c:pt>
                <c:pt idx="54">
                  <c:v>0</c:v>
                </c:pt>
                <c:pt idx="55">
                  <c:v>3</c:v>
                </c:pt>
                <c:pt idx="56">
                  <c:v>5</c:v>
                </c:pt>
                <c:pt idx="57">
                  <c:v>2.1</c:v>
                </c:pt>
                <c:pt idx="58">
                  <c:v>2.2000000000000002</c:v>
                </c:pt>
                <c:pt idx="59">
                  <c:v>0</c:v>
                </c:pt>
                <c:pt idx="60">
                  <c:v>0</c:v>
                </c:pt>
                <c:pt idx="61">
                  <c:v>4.8</c:v>
                </c:pt>
                <c:pt idx="62">
                  <c:v>4.0999999999999996</c:v>
                </c:pt>
                <c:pt idx="63">
                  <c:v>0</c:v>
                </c:pt>
                <c:pt idx="64">
                  <c:v>4.3</c:v>
                </c:pt>
                <c:pt idx="65">
                  <c:v>0</c:v>
                </c:pt>
                <c:pt idx="66">
                  <c:v>0</c:v>
                </c:pt>
                <c:pt idx="67">
                  <c:v>0</c:v>
                </c:pt>
                <c:pt idx="68">
                  <c:v>5</c:v>
                </c:pt>
                <c:pt idx="69">
                  <c:v>4.5999999999999996</c:v>
                </c:pt>
                <c:pt idx="70">
                  <c:v>5</c:v>
                </c:pt>
                <c:pt idx="71">
                  <c:v>0</c:v>
                </c:pt>
                <c:pt idx="72">
                  <c:v>0</c:v>
                </c:pt>
                <c:pt idx="73">
                  <c:v>0</c:v>
                </c:pt>
                <c:pt idx="74">
                  <c:v>0</c:v>
                </c:pt>
                <c:pt idx="75">
                  <c:v>0</c:v>
                </c:pt>
                <c:pt idx="76">
                  <c:v>2.8</c:v>
                </c:pt>
                <c:pt idx="77">
                  <c:v>4</c:v>
                </c:pt>
                <c:pt idx="78">
                  <c:v>0</c:v>
                </c:pt>
                <c:pt idx="79">
                  <c:v>0</c:v>
                </c:pt>
                <c:pt idx="80">
                  <c:v>0</c:v>
                </c:pt>
                <c:pt idx="81">
                  <c:v>0</c:v>
                </c:pt>
                <c:pt idx="82">
                  <c:v>0</c:v>
                </c:pt>
                <c:pt idx="83">
                  <c:v>0</c:v>
                </c:pt>
                <c:pt idx="84">
                  <c:v>2.2999999999999998</c:v>
                </c:pt>
                <c:pt idx="85">
                  <c:v>0</c:v>
                </c:pt>
                <c:pt idx="86">
                  <c:v>2</c:v>
                </c:pt>
                <c:pt idx="87">
                  <c:v>0</c:v>
                </c:pt>
                <c:pt idx="88">
                  <c:v>0</c:v>
                </c:pt>
                <c:pt idx="89">
                  <c:v>5</c:v>
                </c:pt>
                <c:pt idx="90">
                  <c:v>2.7</c:v>
                </c:pt>
                <c:pt idx="91">
                  <c:v>4.3</c:v>
                </c:pt>
                <c:pt idx="92">
                  <c:v>5</c:v>
                </c:pt>
                <c:pt idx="93">
                  <c:v>3.3</c:v>
                </c:pt>
                <c:pt idx="94">
                  <c:v>4.3</c:v>
                </c:pt>
                <c:pt idx="95">
                  <c:v>3</c:v>
                </c:pt>
                <c:pt idx="96">
                  <c:v>2.1</c:v>
                </c:pt>
                <c:pt idx="97">
                  <c:v>4.8</c:v>
                </c:pt>
                <c:pt idx="98">
                  <c:v>0</c:v>
                </c:pt>
                <c:pt idx="99">
                  <c:v>0</c:v>
                </c:pt>
                <c:pt idx="100">
                  <c:v>0</c:v>
                </c:pt>
              </c:numCache>
            </c:numRef>
          </c:yVal>
          <c:smooth val="0"/>
          <c:extLst>
            <c:ext xmlns:c16="http://schemas.microsoft.com/office/drawing/2014/chart" uri="{C3380CC4-5D6E-409C-BE32-E72D297353CC}">
              <c16:uniqueId val="{00000000-4E6B-46CB-881C-2E4C349F9885}"/>
            </c:ext>
          </c:extLst>
        </c:ser>
        <c:dLbls>
          <c:showLegendKey val="0"/>
          <c:showVal val="0"/>
          <c:showCatName val="0"/>
          <c:showSerName val="0"/>
          <c:showPercent val="0"/>
          <c:showBubbleSize val="0"/>
        </c:dLbls>
        <c:axId val="1384562591"/>
        <c:axId val="501790192"/>
      </c:scatterChart>
      <c:valAx>
        <c:axId val="1384562591"/>
        <c:scaling>
          <c:orientation val="minMax"/>
        </c:scaling>
        <c:delete val="0"/>
        <c:axPos val="b"/>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1790192"/>
        <c:crosses val="autoZero"/>
        <c:crossBetween val="midCat"/>
      </c:valAx>
      <c:valAx>
        <c:axId val="50179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4562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Reviews by</a:t>
            </a:r>
            <a:r>
              <a:rPr lang="en-US" b="1" baseline="0">
                <a:solidFill>
                  <a:sysClr val="windowText" lastClr="000000"/>
                </a:solidFill>
              </a:rPr>
              <a:t> Discount Category</a:t>
            </a:r>
            <a:endParaRPr lang="en-US" b="1">
              <a:solidFill>
                <a:sysClr val="windowText" lastClr="000000"/>
              </a:solidFill>
            </a:endParaRPr>
          </a:p>
        </c:rich>
      </c:tx>
      <c:layout>
        <c:manualLayout>
          <c:xMode val="edge"/>
          <c:yMode val="edge"/>
          <c:x val="0.27982633420822395"/>
          <c:y val="5.1589625857612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3"/>
              <c:pt idx="0">
                <c:v>High Discount</c:v>
              </c:pt>
              <c:pt idx="1">
                <c:v>Low Discount</c:v>
              </c:pt>
              <c:pt idx="2">
                <c:v>Medium Discount</c:v>
              </c:pt>
            </c:strLit>
          </c:cat>
          <c:val>
            <c:numLit>
              <c:formatCode>General</c:formatCode>
              <c:ptCount val="3"/>
              <c:pt idx="0">
                <c:v>334</c:v>
              </c:pt>
              <c:pt idx="1">
                <c:v>38</c:v>
              </c:pt>
              <c:pt idx="2">
                <c:v>351</c:v>
              </c:pt>
            </c:numLit>
          </c:val>
          <c:extLst>
            <c:ext xmlns:c16="http://schemas.microsoft.com/office/drawing/2014/chart" uri="{C3380CC4-5D6E-409C-BE32-E72D297353CC}">
              <c16:uniqueId val="{00000000-3C5D-48A0-B2E7-52AD7A16A5DC}"/>
            </c:ext>
          </c:extLst>
        </c:ser>
        <c:dLbls>
          <c:dLblPos val="outEnd"/>
          <c:showLegendKey val="0"/>
          <c:showVal val="0"/>
          <c:showCatName val="0"/>
          <c:showSerName val="0"/>
          <c:showPercent val="0"/>
          <c:showBubbleSize val="0"/>
        </c:dLbls>
        <c:gapWidth val="219"/>
        <c:overlap val="-27"/>
        <c:axId val="1284328944"/>
        <c:axId val="2066317008"/>
      </c:barChart>
      <c:catAx>
        <c:axId val="128432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b="1"/>
                  <a:t>Discount</a:t>
                </a:r>
                <a:r>
                  <a:rPr lang="pt-BR" b="1" baseline="0"/>
                  <a:t> Category</a:t>
                </a:r>
                <a:endParaRPr lang="pt-BR"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6317008"/>
        <c:crosses val="autoZero"/>
        <c:auto val="1"/>
        <c:lblAlgn val="ctr"/>
        <c:lblOffset val="100"/>
        <c:noMultiLvlLbl val="0"/>
      </c:catAx>
      <c:valAx>
        <c:axId val="206631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b="1"/>
                  <a:t>Total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8432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Categories!PivotTable17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Count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Categories'!$B$13</c:f>
              <c:strCache>
                <c:ptCount val="1"/>
                <c:pt idx="0">
                  <c:v>Total</c:v>
                </c:pt>
              </c:strCache>
            </c:strRef>
          </c:tx>
          <c:dPt>
            <c:idx val="0"/>
            <c:bubble3D val="0"/>
            <c:spPr>
              <a:solidFill>
                <a:schemeClr val="accent2">
                  <a:shade val="6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2">
                  <a:tint val="65000"/>
                </a:schemeClr>
              </a:solidFill>
              <a:ln w="19050">
                <a:solidFill>
                  <a:schemeClr val="lt1"/>
                </a:solidFill>
              </a:ln>
              <a:effectLst/>
            </c:spPr>
          </c:dPt>
          <c:cat>
            <c:strRef>
              <c:f>'Product Categories'!$A$14:$A$17</c:f>
              <c:strCache>
                <c:ptCount val="3"/>
                <c:pt idx="0">
                  <c:v>High Discount</c:v>
                </c:pt>
                <c:pt idx="1">
                  <c:v>Low Discount</c:v>
                </c:pt>
                <c:pt idx="2">
                  <c:v>Medium Discount</c:v>
                </c:pt>
              </c:strCache>
            </c:strRef>
          </c:cat>
          <c:val>
            <c:numRef>
              <c:f>'Product Categories'!$B$14:$B$17</c:f>
              <c:numCache>
                <c:formatCode>General</c:formatCode>
                <c:ptCount val="3"/>
                <c:pt idx="0">
                  <c:v>62</c:v>
                </c:pt>
                <c:pt idx="1">
                  <c:v>18</c:v>
                </c:pt>
                <c:pt idx="2">
                  <c:v>32</c:v>
                </c:pt>
              </c:numCache>
            </c:numRef>
          </c:val>
          <c:extLst>
            <c:ext xmlns:c16="http://schemas.microsoft.com/office/drawing/2014/chart" uri="{C3380CC4-5D6E-409C-BE32-E72D297353CC}">
              <c16:uniqueId val="{00000000-6214-4D2D-ADC1-41BD9A1C35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Categories!PivotTable33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Product Count</a:t>
            </a:r>
            <a:r>
              <a:rPr lang="pt-BR" b="1" baseline="0">
                <a:solidFill>
                  <a:sysClr val="windowText" lastClr="000000"/>
                </a:solidFill>
              </a:rPr>
              <a:t> by Rating Category</a:t>
            </a:r>
            <a:endParaRPr lang="pt-BR" b="1">
              <a:solidFill>
                <a:sysClr val="windowText" lastClr="000000"/>
              </a:solidFill>
            </a:endParaRPr>
          </a:p>
        </c:rich>
      </c:tx>
      <c:layout>
        <c:manualLayout>
          <c:xMode val="edge"/>
          <c:yMode val="edge"/>
          <c:x val="0.2127499999999999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Categories'!$B$5</c:f>
              <c:strCache>
                <c:ptCount val="1"/>
                <c:pt idx="0">
                  <c:v>Total</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cat>
            <c:strRef>
              <c:f>'Product Categories'!$A$6:$A$10</c:f>
              <c:strCache>
                <c:ptCount val="4"/>
                <c:pt idx="0">
                  <c:v>Average</c:v>
                </c:pt>
                <c:pt idx="1">
                  <c:v>Excellent</c:v>
                </c:pt>
                <c:pt idx="2">
                  <c:v>Not Provided</c:v>
                </c:pt>
                <c:pt idx="3">
                  <c:v>Poor</c:v>
                </c:pt>
              </c:strCache>
            </c:strRef>
          </c:cat>
          <c:val>
            <c:numRef>
              <c:f>'Product Categories'!$B$6:$B$10</c:f>
              <c:numCache>
                <c:formatCode>General</c:formatCode>
                <c:ptCount val="4"/>
                <c:pt idx="0">
                  <c:v>22</c:v>
                </c:pt>
                <c:pt idx="1">
                  <c:v>23</c:v>
                </c:pt>
                <c:pt idx="2">
                  <c:v>55</c:v>
                </c:pt>
                <c:pt idx="3">
                  <c:v>12</c:v>
                </c:pt>
              </c:numCache>
            </c:numRef>
          </c:val>
          <c:extLst>
            <c:ext xmlns:c16="http://schemas.microsoft.com/office/drawing/2014/chart" uri="{C3380CC4-5D6E-409C-BE32-E72D297353CC}">
              <c16:uniqueId val="{00000000-CF06-4BDE-98F0-AD1FA2D486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Categories!PivotTable34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Product</a:t>
            </a:r>
            <a:r>
              <a:rPr lang="pt-BR" b="1" baseline="0">
                <a:solidFill>
                  <a:sysClr val="windowText" lastClr="000000"/>
                </a:solidFill>
              </a:rPr>
              <a:t> Count by Price Category</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Categories'!$B$19</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2">
                  <a:tint val="65000"/>
                </a:schemeClr>
              </a:solidFill>
              <a:ln w="25400">
                <a:solidFill>
                  <a:schemeClr val="lt1"/>
                </a:solidFill>
              </a:ln>
              <a:effectLst/>
              <a:sp3d contourW="25400">
                <a:contourClr>
                  <a:schemeClr val="lt1"/>
                </a:contourClr>
              </a:sp3d>
            </c:spPr>
          </c:dPt>
          <c:cat>
            <c:strRef>
              <c:f>'Product Categories'!$A$20:$A$23</c:f>
              <c:strCache>
                <c:ptCount val="3"/>
                <c:pt idx="0">
                  <c:v>High Price</c:v>
                </c:pt>
                <c:pt idx="1">
                  <c:v>Low Price</c:v>
                </c:pt>
                <c:pt idx="2">
                  <c:v>Medium Price</c:v>
                </c:pt>
              </c:strCache>
            </c:strRef>
          </c:cat>
          <c:val>
            <c:numRef>
              <c:f>'Product Categories'!$B$20:$B$23</c:f>
              <c:numCache>
                <c:formatCode>General</c:formatCode>
                <c:ptCount val="3"/>
                <c:pt idx="0">
                  <c:v>88</c:v>
                </c:pt>
                <c:pt idx="1">
                  <c:v>17</c:v>
                </c:pt>
                <c:pt idx="2">
                  <c:v>7</c:v>
                </c:pt>
              </c:numCache>
            </c:numRef>
          </c:val>
          <c:extLst>
            <c:ext xmlns:c16="http://schemas.microsoft.com/office/drawing/2014/chart" uri="{C3380CC4-5D6E-409C-BE32-E72D297353CC}">
              <c16:uniqueId val="{00000000-300F-41C3-888C-D8550C31AE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Categories!PivotTable23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Ratings</a:t>
            </a:r>
            <a:r>
              <a:rPr lang="en-US" b="1" baseline="0">
                <a:solidFill>
                  <a:sysClr val="windowText" lastClr="000000"/>
                </a:solidFill>
              </a:rPr>
              <a:t> by Price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Categories'!$B$33</c:f>
              <c:strCache>
                <c:ptCount val="1"/>
                <c:pt idx="0">
                  <c:v>Total</c:v>
                </c:pt>
              </c:strCache>
            </c:strRef>
          </c:tx>
          <c:spPr>
            <a:solidFill>
              <a:schemeClr val="accent2"/>
            </a:solidFill>
            <a:ln>
              <a:noFill/>
            </a:ln>
            <a:effectLst/>
          </c:spPr>
          <c:invertIfNegative val="0"/>
          <c:cat>
            <c:strRef>
              <c:f>'Product Categories'!$A$34:$A$37</c:f>
              <c:strCache>
                <c:ptCount val="3"/>
                <c:pt idx="0">
                  <c:v>High Price</c:v>
                </c:pt>
                <c:pt idx="1">
                  <c:v>Low Price</c:v>
                </c:pt>
                <c:pt idx="2">
                  <c:v>Medium Price</c:v>
                </c:pt>
              </c:strCache>
            </c:strRef>
          </c:cat>
          <c:val>
            <c:numRef>
              <c:f>'Product Categories'!$B$34:$B$37</c:f>
              <c:numCache>
                <c:formatCode>General</c:formatCode>
                <c:ptCount val="3"/>
                <c:pt idx="0">
                  <c:v>88</c:v>
                </c:pt>
                <c:pt idx="1">
                  <c:v>17</c:v>
                </c:pt>
                <c:pt idx="2">
                  <c:v>7</c:v>
                </c:pt>
              </c:numCache>
            </c:numRef>
          </c:val>
          <c:extLst>
            <c:ext xmlns:c16="http://schemas.microsoft.com/office/drawing/2014/chart" uri="{C3380CC4-5D6E-409C-BE32-E72D297353CC}">
              <c16:uniqueId val="{00000000-59B0-40E8-957D-AF3F02A55AF3}"/>
            </c:ext>
          </c:extLst>
        </c:ser>
        <c:dLbls>
          <c:showLegendKey val="0"/>
          <c:showVal val="0"/>
          <c:showCatName val="0"/>
          <c:showSerName val="0"/>
          <c:showPercent val="0"/>
          <c:showBubbleSize val="0"/>
        </c:dLbls>
        <c:gapWidth val="219"/>
        <c:overlap val="-27"/>
        <c:axId val="497341552"/>
        <c:axId val="601928464"/>
      </c:barChart>
      <c:catAx>
        <c:axId val="4973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928464"/>
        <c:crosses val="autoZero"/>
        <c:auto val="1"/>
        <c:lblAlgn val="ctr"/>
        <c:lblOffset val="100"/>
        <c:noMultiLvlLbl val="0"/>
      </c:catAx>
      <c:valAx>
        <c:axId val="60192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34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Performance!PivotTable29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Rating</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Performance'!$B$2</c:f>
              <c:strCache>
                <c:ptCount val="1"/>
                <c:pt idx="0">
                  <c:v>Total</c:v>
                </c:pt>
              </c:strCache>
            </c:strRef>
          </c:tx>
          <c:spPr>
            <a:solidFill>
              <a:schemeClr val="accent2"/>
            </a:solidFill>
            <a:ln>
              <a:noFill/>
            </a:ln>
            <a:effectLst/>
          </c:spPr>
          <c:invertIfNegative val="0"/>
          <c:cat>
            <c:strRef>
              <c:f>'Product Performance'!$A$3:$A$13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Performance'!$B$3:$B$13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79C-4585-853B-BEED2E29FA64}"/>
            </c:ext>
          </c:extLst>
        </c:ser>
        <c:dLbls>
          <c:showLegendKey val="0"/>
          <c:showVal val="0"/>
          <c:showCatName val="0"/>
          <c:showSerName val="0"/>
          <c:showPercent val="0"/>
          <c:showBubbleSize val="0"/>
        </c:dLbls>
        <c:gapWidth val="182"/>
        <c:axId val="497470544"/>
        <c:axId val="601989904"/>
      </c:barChart>
      <c:catAx>
        <c:axId val="4974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989904"/>
        <c:crosses val="autoZero"/>
        <c:auto val="1"/>
        <c:lblAlgn val="ctr"/>
        <c:lblOffset val="100"/>
        <c:noMultiLvlLbl val="0"/>
      </c:catAx>
      <c:valAx>
        <c:axId val="60198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7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Performance!PivotTable30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Reviews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Performance'!$B$16</c:f>
              <c:strCache>
                <c:ptCount val="1"/>
                <c:pt idx="0">
                  <c:v>Total</c:v>
                </c:pt>
              </c:strCache>
            </c:strRef>
          </c:tx>
          <c:spPr>
            <a:solidFill>
              <a:schemeClr val="accent2"/>
            </a:solidFill>
            <a:ln>
              <a:noFill/>
            </a:ln>
            <a:effectLst/>
          </c:spPr>
          <c:invertIfNegative val="0"/>
          <c:cat>
            <c:strRef>
              <c:f>'Product Performance'!$A$17:$A$27</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'Product Performance'!$B$17:$B$27</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2D6-417C-9EC4-5B84A044CA01}"/>
            </c:ext>
          </c:extLst>
        </c:ser>
        <c:dLbls>
          <c:showLegendKey val="0"/>
          <c:showVal val="0"/>
          <c:showCatName val="0"/>
          <c:showSerName val="0"/>
          <c:showPercent val="0"/>
          <c:showBubbleSize val="0"/>
        </c:dLbls>
        <c:gapWidth val="182"/>
        <c:axId val="497445952"/>
        <c:axId val="602016304"/>
      </c:barChart>
      <c:catAx>
        <c:axId val="49744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2016304"/>
        <c:crosses val="autoZero"/>
        <c:auto val="1"/>
        <c:lblAlgn val="ctr"/>
        <c:lblOffset val="100"/>
        <c:noMultiLvlLbl val="0"/>
      </c:catAx>
      <c:valAx>
        <c:axId val="60201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Performance!PivotTable31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Ten Products by Discount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Performance'!$B$29</c:f>
              <c:strCache>
                <c:ptCount val="1"/>
                <c:pt idx="0">
                  <c:v>Total</c:v>
                </c:pt>
              </c:strCache>
            </c:strRef>
          </c:tx>
          <c:spPr>
            <a:solidFill>
              <a:schemeClr val="accent2"/>
            </a:solidFill>
            <a:ln>
              <a:noFill/>
            </a:ln>
            <a:effectLst/>
          </c:spPr>
          <c:invertIfNegative val="0"/>
          <c:cat>
            <c:strRef>
              <c:f>'Product Performance'!$A$30:$A$40</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'Product Performance'!$B$30:$B$40</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56A1-49A2-A2DB-A39EFF704E9C}"/>
            </c:ext>
          </c:extLst>
        </c:ser>
        <c:dLbls>
          <c:showLegendKey val="0"/>
          <c:showVal val="0"/>
          <c:showCatName val="0"/>
          <c:showSerName val="0"/>
          <c:showPercent val="0"/>
          <c:showBubbleSize val="0"/>
        </c:dLbls>
        <c:gapWidth val="182"/>
        <c:axId val="497406512"/>
        <c:axId val="602007664"/>
      </c:barChart>
      <c:catAx>
        <c:axId val="49740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2007664"/>
        <c:crosses val="autoZero"/>
        <c:auto val="1"/>
        <c:lblAlgn val="ctr"/>
        <c:lblOffset val="100"/>
        <c:noMultiLvlLbl val="0"/>
      </c:catAx>
      <c:valAx>
        <c:axId val="602007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Discounts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Cleaned_Data!$H$1</c:f>
              <c:strCache>
                <c:ptCount val="1"/>
                <c:pt idx="0">
                  <c:v>Review</c:v>
                </c:pt>
              </c:strCache>
            </c:strRef>
          </c:tx>
          <c:spPr>
            <a:ln w="38100" cap="rnd">
              <a:noFill/>
              <a:round/>
            </a:ln>
            <a:effectLst/>
          </c:spPr>
          <c:marker>
            <c:symbol val="circle"/>
            <c:size val="5"/>
            <c:spPr>
              <a:solidFill>
                <a:schemeClr val="accent2"/>
              </a:solidFill>
              <a:ln w="9525">
                <a:solidFill>
                  <a:schemeClr val="accent2"/>
                </a:solidFill>
              </a:ln>
              <a:effectLst/>
            </c:spPr>
          </c:marker>
          <c:xVal>
            <c:numRef>
              <c:f>Cleaned_Data!$F$2:$F$118</c:f>
              <c:numCache>
                <c:formatCode>0%</c:formatCode>
                <c:ptCount val="117"/>
                <c:pt idx="0">
                  <c:v>0.64</c:v>
                </c:pt>
                <c:pt idx="1">
                  <c:v>0.61</c:v>
                </c:pt>
                <c:pt idx="2">
                  <c:v>0.55000000000000004</c:v>
                </c:pt>
                <c:pt idx="3">
                  <c:v>0.5</c:v>
                </c:pt>
                <c:pt idx="4">
                  <c:v>0.5</c:v>
                </c:pt>
                <c:pt idx="5">
                  <c:v>0.5</c:v>
                </c:pt>
                <c:pt idx="6">
                  <c:v>0.5</c:v>
                </c:pt>
                <c:pt idx="7">
                  <c:v>0.5</c:v>
                </c:pt>
                <c:pt idx="8">
                  <c:v>0.49</c:v>
                </c:pt>
                <c:pt idx="9">
                  <c:v>0.49</c:v>
                </c:pt>
                <c:pt idx="10">
                  <c:v>0.49</c:v>
                </c:pt>
                <c:pt idx="11">
                  <c:v>0.09</c:v>
                </c:pt>
                <c:pt idx="12">
                  <c:v>0.49</c:v>
                </c:pt>
                <c:pt idx="13">
                  <c:v>0.13</c:v>
                </c:pt>
                <c:pt idx="14">
                  <c:v>0.49</c:v>
                </c:pt>
                <c:pt idx="15">
                  <c:v>0.49</c:v>
                </c:pt>
                <c:pt idx="16">
                  <c:v>0.18</c:v>
                </c:pt>
                <c:pt idx="17">
                  <c:v>0.19</c:v>
                </c:pt>
                <c:pt idx="18">
                  <c:v>0.2</c:v>
                </c:pt>
                <c:pt idx="19">
                  <c:v>0.21</c:v>
                </c:pt>
                <c:pt idx="20">
                  <c:v>0.22</c:v>
                </c:pt>
                <c:pt idx="21">
                  <c:v>0.49</c:v>
                </c:pt>
                <c:pt idx="22">
                  <c:v>0.23</c:v>
                </c:pt>
                <c:pt idx="23">
                  <c:v>0.24</c:v>
                </c:pt>
                <c:pt idx="24">
                  <c:v>0.49</c:v>
                </c:pt>
                <c:pt idx="25">
                  <c:v>0.25</c:v>
                </c:pt>
                <c:pt idx="26">
                  <c:v>0.26</c:v>
                </c:pt>
                <c:pt idx="27">
                  <c:v>0.49</c:v>
                </c:pt>
                <c:pt idx="28">
                  <c:v>0.27</c:v>
                </c:pt>
                <c:pt idx="29">
                  <c:v>0.27</c:v>
                </c:pt>
                <c:pt idx="30">
                  <c:v>0.28999999999999998</c:v>
                </c:pt>
                <c:pt idx="31">
                  <c:v>0.3</c:v>
                </c:pt>
                <c:pt idx="32">
                  <c:v>0.32</c:v>
                </c:pt>
                <c:pt idx="33">
                  <c:v>0.33</c:v>
                </c:pt>
                <c:pt idx="34">
                  <c:v>0.48</c:v>
                </c:pt>
                <c:pt idx="35">
                  <c:v>0.48</c:v>
                </c:pt>
                <c:pt idx="36">
                  <c:v>0.48</c:v>
                </c:pt>
                <c:pt idx="37">
                  <c:v>0.34</c:v>
                </c:pt>
                <c:pt idx="38">
                  <c:v>0.34</c:v>
                </c:pt>
                <c:pt idx="39">
                  <c:v>0.35</c:v>
                </c:pt>
                <c:pt idx="40">
                  <c:v>0.35</c:v>
                </c:pt>
                <c:pt idx="41">
                  <c:v>0.47</c:v>
                </c:pt>
                <c:pt idx="42">
                  <c:v>0.37</c:v>
                </c:pt>
                <c:pt idx="43">
                  <c:v>0.37</c:v>
                </c:pt>
                <c:pt idx="44">
                  <c:v>0.38</c:v>
                </c:pt>
                <c:pt idx="45">
                  <c:v>0.47</c:v>
                </c:pt>
                <c:pt idx="46">
                  <c:v>0.47</c:v>
                </c:pt>
                <c:pt idx="47">
                  <c:v>0.38</c:v>
                </c:pt>
                <c:pt idx="48">
                  <c:v>0.39</c:v>
                </c:pt>
                <c:pt idx="49">
                  <c:v>0.4</c:v>
                </c:pt>
                <c:pt idx="50">
                  <c:v>0.46</c:v>
                </c:pt>
                <c:pt idx="51">
                  <c:v>0.45</c:v>
                </c:pt>
                <c:pt idx="52">
                  <c:v>0.41</c:v>
                </c:pt>
                <c:pt idx="53">
                  <c:v>0.43</c:v>
                </c:pt>
                <c:pt idx="54">
                  <c:v>0.43</c:v>
                </c:pt>
                <c:pt idx="55">
                  <c:v>0.42</c:v>
                </c:pt>
                <c:pt idx="56">
                  <c:v>0.42</c:v>
                </c:pt>
                <c:pt idx="57">
                  <c:v>0.42</c:v>
                </c:pt>
                <c:pt idx="58">
                  <c:v>0.42</c:v>
                </c:pt>
                <c:pt idx="59">
                  <c:v>0.43</c:v>
                </c:pt>
                <c:pt idx="60">
                  <c:v>0.43</c:v>
                </c:pt>
                <c:pt idx="61">
                  <c:v>0.45</c:v>
                </c:pt>
                <c:pt idx="62">
                  <c:v>0.45</c:v>
                </c:pt>
                <c:pt idx="63">
                  <c:v>0.41</c:v>
                </c:pt>
                <c:pt idx="64">
                  <c:v>0.45</c:v>
                </c:pt>
                <c:pt idx="65">
                  <c:v>0.41</c:v>
                </c:pt>
                <c:pt idx="66">
                  <c:v>0.46</c:v>
                </c:pt>
                <c:pt idx="67">
                  <c:v>0.46</c:v>
                </c:pt>
                <c:pt idx="68">
                  <c:v>0.47</c:v>
                </c:pt>
                <c:pt idx="69">
                  <c:v>0.47</c:v>
                </c:pt>
                <c:pt idx="70">
                  <c:v>0.38</c:v>
                </c:pt>
                <c:pt idx="71">
                  <c:v>0.38</c:v>
                </c:pt>
                <c:pt idx="72">
                  <c:v>0.47</c:v>
                </c:pt>
                <c:pt idx="73">
                  <c:v>0.47</c:v>
                </c:pt>
                <c:pt idx="74">
                  <c:v>0.36</c:v>
                </c:pt>
                <c:pt idx="75">
                  <c:v>0.48</c:v>
                </c:pt>
                <c:pt idx="76">
                  <c:v>0.34</c:v>
                </c:pt>
                <c:pt idx="77">
                  <c:v>0.34</c:v>
                </c:pt>
                <c:pt idx="78">
                  <c:v>0.33</c:v>
                </c:pt>
                <c:pt idx="79">
                  <c:v>0.49</c:v>
                </c:pt>
                <c:pt idx="80">
                  <c:v>0.49</c:v>
                </c:pt>
                <c:pt idx="81">
                  <c:v>0.49</c:v>
                </c:pt>
                <c:pt idx="82">
                  <c:v>0.27</c:v>
                </c:pt>
                <c:pt idx="83">
                  <c:v>0.24</c:v>
                </c:pt>
                <c:pt idx="84">
                  <c:v>0.22</c:v>
                </c:pt>
                <c:pt idx="85">
                  <c:v>0.14000000000000001</c:v>
                </c:pt>
                <c:pt idx="86">
                  <c:v>0.14000000000000001</c:v>
                </c:pt>
                <c:pt idx="87">
                  <c:v>0.49</c:v>
                </c:pt>
                <c:pt idx="88">
                  <c:v>0.49</c:v>
                </c:pt>
                <c:pt idx="89">
                  <c:v>0.11</c:v>
                </c:pt>
                <c:pt idx="90">
                  <c:v>0.08</c:v>
                </c:pt>
                <c:pt idx="91">
                  <c:v>0.04</c:v>
                </c:pt>
                <c:pt idx="92">
                  <c:v>0.04</c:v>
                </c:pt>
                <c:pt idx="93">
                  <c:v>0.03</c:v>
                </c:pt>
                <c:pt idx="94">
                  <c:v>0.02</c:v>
                </c:pt>
                <c:pt idx="95">
                  <c:v>0.5</c:v>
                </c:pt>
                <c:pt idx="96">
                  <c:v>0.02</c:v>
                </c:pt>
                <c:pt idx="97">
                  <c:v>0.5</c:v>
                </c:pt>
                <c:pt idx="98">
                  <c:v>0.02</c:v>
                </c:pt>
                <c:pt idx="99">
                  <c:v>0.02</c:v>
                </c:pt>
                <c:pt idx="100">
                  <c:v>0.51</c:v>
                </c:pt>
                <c:pt idx="101">
                  <c:v>0.52</c:v>
                </c:pt>
                <c:pt idx="102">
                  <c:v>0.52</c:v>
                </c:pt>
                <c:pt idx="103">
                  <c:v>0.53</c:v>
                </c:pt>
                <c:pt idx="104">
                  <c:v>0.53</c:v>
                </c:pt>
                <c:pt idx="105">
                  <c:v>0.54</c:v>
                </c:pt>
                <c:pt idx="106">
                  <c:v>0.54</c:v>
                </c:pt>
                <c:pt idx="107">
                  <c:v>0.55000000000000004</c:v>
                </c:pt>
                <c:pt idx="108">
                  <c:v>0.55000000000000004</c:v>
                </c:pt>
                <c:pt idx="109">
                  <c:v>0.02</c:v>
                </c:pt>
                <c:pt idx="110">
                  <c:v>0.02</c:v>
                </c:pt>
                <c:pt idx="111">
                  <c:v>0.01</c:v>
                </c:pt>
              </c:numCache>
            </c:numRef>
          </c:xVal>
          <c:yVal>
            <c:numRef>
              <c:f>Cleaned_Data!$H$2:$H$118</c:f>
              <c:numCache>
                <c:formatCode>0</c:formatCode>
                <c:ptCount val="117"/>
                <c:pt idx="11">
                  <c:v>15</c:v>
                </c:pt>
                <c:pt idx="13">
                  <c:v>6</c:v>
                </c:pt>
                <c:pt idx="16">
                  <c:v>12</c:v>
                </c:pt>
                <c:pt idx="17">
                  <c:v>5</c:v>
                </c:pt>
                <c:pt idx="18">
                  <c:v>12</c:v>
                </c:pt>
                <c:pt idx="19">
                  <c:v>1</c:v>
                </c:pt>
                <c:pt idx="20">
                  <c:v>16</c:v>
                </c:pt>
                <c:pt idx="22">
                  <c:v>14</c:v>
                </c:pt>
                <c:pt idx="23">
                  <c:v>55</c:v>
                </c:pt>
                <c:pt idx="25">
                  <c:v>24</c:v>
                </c:pt>
                <c:pt idx="26">
                  <c:v>5</c:v>
                </c:pt>
                <c:pt idx="28">
                  <c:v>32</c:v>
                </c:pt>
                <c:pt idx="29">
                  <c:v>20</c:v>
                </c:pt>
                <c:pt idx="30">
                  <c:v>5</c:v>
                </c:pt>
                <c:pt idx="31">
                  <c:v>20</c:v>
                </c:pt>
                <c:pt idx="32">
                  <c:v>13</c:v>
                </c:pt>
                <c:pt idx="33">
                  <c:v>9</c:v>
                </c:pt>
                <c:pt idx="37">
                  <c:v>39</c:v>
                </c:pt>
                <c:pt idx="38">
                  <c:v>12</c:v>
                </c:pt>
                <c:pt idx="39">
                  <c:v>6</c:v>
                </c:pt>
                <c:pt idx="40">
                  <c:v>49</c:v>
                </c:pt>
                <c:pt idx="42">
                  <c:v>7</c:v>
                </c:pt>
                <c:pt idx="43">
                  <c:v>2</c:v>
                </c:pt>
                <c:pt idx="44">
                  <c:v>2</c:v>
                </c:pt>
                <c:pt idx="47">
                  <c:v>2</c:v>
                </c:pt>
                <c:pt idx="48">
                  <c:v>5</c:v>
                </c:pt>
                <c:pt idx="49">
                  <c:v>1</c:v>
                </c:pt>
                <c:pt idx="52">
                  <c:v>36</c:v>
                </c:pt>
                <c:pt idx="56">
                  <c:v>6</c:v>
                </c:pt>
                <c:pt idx="59">
                  <c:v>5</c:v>
                </c:pt>
                <c:pt idx="60">
                  <c:v>6</c:v>
                </c:pt>
                <c:pt idx="61">
                  <c:v>5</c:v>
                </c:pt>
                <c:pt idx="62">
                  <c:v>6</c:v>
                </c:pt>
                <c:pt idx="64">
                  <c:v>17</c:v>
                </c:pt>
                <c:pt idx="66">
                  <c:v>1</c:v>
                </c:pt>
                <c:pt idx="67">
                  <c:v>2</c:v>
                </c:pt>
                <c:pt idx="68">
                  <c:v>7</c:v>
                </c:pt>
                <c:pt idx="69">
                  <c:v>6</c:v>
                </c:pt>
                <c:pt idx="72">
                  <c:v>12</c:v>
                </c:pt>
                <c:pt idx="73">
                  <c:v>14</c:v>
                </c:pt>
                <c:pt idx="75">
                  <c:v>9</c:v>
                </c:pt>
                <c:pt idx="79">
                  <c:v>3</c:v>
                </c:pt>
                <c:pt idx="80">
                  <c:v>44</c:v>
                </c:pt>
                <c:pt idx="81">
                  <c:v>1</c:v>
                </c:pt>
                <c:pt idx="87">
                  <c:v>69</c:v>
                </c:pt>
                <c:pt idx="88">
                  <c:v>1</c:v>
                </c:pt>
                <c:pt idx="95">
                  <c:v>7</c:v>
                </c:pt>
                <c:pt idx="97">
                  <c:v>1</c:v>
                </c:pt>
                <c:pt idx="100">
                  <c:v>2</c:v>
                </c:pt>
                <c:pt idx="101">
                  <c:v>15</c:v>
                </c:pt>
                <c:pt idx="102">
                  <c:v>9</c:v>
                </c:pt>
                <c:pt idx="103">
                  <c:v>2</c:v>
                </c:pt>
                <c:pt idx="104">
                  <c:v>13</c:v>
                </c:pt>
                <c:pt idx="105">
                  <c:v>7</c:v>
                </c:pt>
                <c:pt idx="106">
                  <c:v>10</c:v>
                </c:pt>
                <c:pt idx="107">
                  <c:v>13</c:v>
                </c:pt>
                <c:pt idx="108">
                  <c:v>5</c:v>
                </c:pt>
              </c:numCache>
            </c:numRef>
          </c:yVal>
          <c:smooth val="0"/>
          <c:extLst>
            <c:ext xmlns:c16="http://schemas.microsoft.com/office/drawing/2014/chart" uri="{C3380CC4-5D6E-409C-BE32-E72D297353CC}">
              <c16:uniqueId val="{00000000-DB12-4083-A768-F0CAB916CBF5}"/>
            </c:ext>
          </c:extLst>
        </c:ser>
        <c:dLbls>
          <c:showLegendKey val="0"/>
          <c:showVal val="0"/>
          <c:showCatName val="0"/>
          <c:showSerName val="0"/>
          <c:showPercent val="0"/>
          <c:showBubbleSize val="0"/>
        </c:dLbls>
        <c:axId val="497425536"/>
        <c:axId val="601960144"/>
      </c:scatterChart>
      <c:valAx>
        <c:axId val="497425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960144"/>
        <c:crosses val="autoZero"/>
        <c:crossBetween val="midCat"/>
      </c:valAx>
      <c:valAx>
        <c:axId val="601960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25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Ratings</a:t>
            </a:r>
            <a:r>
              <a:rPr lang="pt-BR" b="1" baseline="0">
                <a:solidFill>
                  <a:sysClr val="windowText" lastClr="000000"/>
                </a:solidFill>
              </a:rPr>
              <a:t> vs Reviews</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Cleaned_Data!$I$1:$I$12</c:f>
              <c:strCache>
                <c:ptCount val="12"/>
                <c:pt idx="0">
                  <c:v>Rating</c:v>
                </c:pt>
              </c:strCache>
            </c:strRef>
          </c:tx>
          <c:spPr>
            <a:ln w="38100" cap="rnd">
              <a:noFill/>
              <a:round/>
            </a:ln>
            <a:effectLst/>
          </c:spPr>
          <c:marker>
            <c:symbol val="circle"/>
            <c:size val="5"/>
            <c:spPr>
              <a:solidFill>
                <a:schemeClr val="accent2"/>
              </a:solidFill>
              <a:ln w="9525">
                <a:solidFill>
                  <a:schemeClr val="accent2"/>
                </a:solidFill>
              </a:ln>
              <a:effectLst/>
            </c:spPr>
          </c:marker>
          <c:xVal>
            <c:numRef>
              <c:f>Cleaned_Data!$H$13:$H$118</c:f>
              <c:numCache>
                <c:formatCode>0</c:formatCode>
                <c:ptCount val="106"/>
                <c:pt idx="0">
                  <c:v>15</c:v>
                </c:pt>
                <c:pt idx="2">
                  <c:v>6</c:v>
                </c:pt>
                <c:pt idx="5">
                  <c:v>12</c:v>
                </c:pt>
                <c:pt idx="6">
                  <c:v>5</c:v>
                </c:pt>
                <c:pt idx="7">
                  <c:v>12</c:v>
                </c:pt>
                <c:pt idx="8">
                  <c:v>1</c:v>
                </c:pt>
                <c:pt idx="9">
                  <c:v>16</c:v>
                </c:pt>
                <c:pt idx="11">
                  <c:v>14</c:v>
                </c:pt>
                <c:pt idx="12">
                  <c:v>55</c:v>
                </c:pt>
                <c:pt idx="14">
                  <c:v>24</c:v>
                </c:pt>
                <c:pt idx="15">
                  <c:v>5</c:v>
                </c:pt>
                <c:pt idx="17">
                  <c:v>32</c:v>
                </c:pt>
                <c:pt idx="18">
                  <c:v>20</c:v>
                </c:pt>
                <c:pt idx="19">
                  <c:v>5</c:v>
                </c:pt>
                <c:pt idx="20">
                  <c:v>20</c:v>
                </c:pt>
                <c:pt idx="21">
                  <c:v>13</c:v>
                </c:pt>
                <c:pt idx="22">
                  <c:v>9</c:v>
                </c:pt>
                <c:pt idx="26">
                  <c:v>39</c:v>
                </c:pt>
                <c:pt idx="27">
                  <c:v>12</c:v>
                </c:pt>
                <c:pt idx="28">
                  <c:v>6</c:v>
                </c:pt>
                <c:pt idx="29">
                  <c:v>49</c:v>
                </c:pt>
                <c:pt idx="31">
                  <c:v>7</c:v>
                </c:pt>
                <c:pt idx="32">
                  <c:v>2</c:v>
                </c:pt>
                <c:pt idx="33">
                  <c:v>2</c:v>
                </c:pt>
                <c:pt idx="36">
                  <c:v>2</c:v>
                </c:pt>
                <c:pt idx="37">
                  <c:v>5</c:v>
                </c:pt>
                <c:pt idx="38">
                  <c:v>1</c:v>
                </c:pt>
                <c:pt idx="41">
                  <c:v>36</c:v>
                </c:pt>
                <c:pt idx="45">
                  <c:v>6</c:v>
                </c:pt>
                <c:pt idx="48">
                  <c:v>5</c:v>
                </c:pt>
                <c:pt idx="49">
                  <c:v>6</c:v>
                </c:pt>
                <c:pt idx="50">
                  <c:v>5</c:v>
                </c:pt>
                <c:pt idx="51">
                  <c:v>6</c:v>
                </c:pt>
                <c:pt idx="53">
                  <c:v>17</c:v>
                </c:pt>
                <c:pt idx="55">
                  <c:v>1</c:v>
                </c:pt>
                <c:pt idx="56">
                  <c:v>2</c:v>
                </c:pt>
                <c:pt idx="57">
                  <c:v>7</c:v>
                </c:pt>
                <c:pt idx="58">
                  <c:v>6</c:v>
                </c:pt>
                <c:pt idx="61">
                  <c:v>12</c:v>
                </c:pt>
                <c:pt idx="62">
                  <c:v>14</c:v>
                </c:pt>
                <c:pt idx="64">
                  <c:v>9</c:v>
                </c:pt>
                <c:pt idx="68">
                  <c:v>3</c:v>
                </c:pt>
                <c:pt idx="69">
                  <c:v>44</c:v>
                </c:pt>
                <c:pt idx="70">
                  <c:v>1</c:v>
                </c:pt>
                <c:pt idx="76">
                  <c:v>69</c:v>
                </c:pt>
                <c:pt idx="77">
                  <c:v>1</c:v>
                </c:pt>
                <c:pt idx="84">
                  <c:v>7</c:v>
                </c:pt>
                <c:pt idx="86">
                  <c:v>1</c:v>
                </c:pt>
                <c:pt idx="89">
                  <c:v>2</c:v>
                </c:pt>
                <c:pt idx="90">
                  <c:v>15</c:v>
                </c:pt>
                <c:pt idx="91">
                  <c:v>9</c:v>
                </c:pt>
                <c:pt idx="92">
                  <c:v>2</c:v>
                </c:pt>
                <c:pt idx="93">
                  <c:v>13</c:v>
                </c:pt>
                <c:pt idx="94">
                  <c:v>7</c:v>
                </c:pt>
                <c:pt idx="95">
                  <c:v>10</c:v>
                </c:pt>
                <c:pt idx="96">
                  <c:v>13</c:v>
                </c:pt>
                <c:pt idx="97">
                  <c:v>5</c:v>
                </c:pt>
              </c:numCache>
            </c:numRef>
          </c:xVal>
          <c:yVal>
            <c:numRef>
              <c:f>Cleaned_Data!$I$13:$I$118</c:f>
              <c:numCache>
                <c:formatCode>0.0</c:formatCode>
                <c:ptCount val="106"/>
                <c:pt idx="0">
                  <c:v>4</c:v>
                </c:pt>
                <c:pt idx="1">
                  <c:v>0</c:v>
                </c:pt>
                <c:pt idx="2">
                  <c:v>2.5</c:v>
                </c:pt>
                <c:pt idx="3">
                  <c:v>0</c:v>
                </c:pt>
                <c:pt idx="4">
                  <c:v>0</c:v>
                </c:pt>
                <c:pt idx="5">
                  <c:v>3.8</c:v>
                </c:pt>
                <c:pt idx="6">
                  <c:v>4.5999999999999996</c:v>
                </c:pt>
                <c:pt idx="7">
                  <c:v>4.0999999999999996</c:v>
                </c:pt>
                <c:pt idx="8">
                  <c:v>5</c:v>
                </c:pt>
                <c:pt idx="9">
                  <c:v>2.9</c:v>
                </c:pt>
                <c:pt idx="10">
                  <c:v>0</c:v>
                </c:pt>
                <c:pt idx="11">
                  <c:v>4.4000000000000004</c:v>
                </c:pt>
                <c:pt idx="12">
                  <c:v>4.5999999999999996</c:v>
                </c:pt>
                <c:pt idx="13">
                  <c:v>0</c:v>
                </c:pt>
                <c:pt idx="14">
                  <c:v>4.5999999999999996</c:v>
                </c:pt>
                <c:pt idx="15">
                  <c:v>4.8</c:v>
                </c:pt>
                <c:pt idx="16">
                  <c:v>0</c:v>
                </c:pt>
                <c:pt idx="17">
                  <c:v>4.5</c:v>
                </c:pt>
                <c:pt idx="18">
                  <c:v>4.7</c:v>
                </c:pt>
                <c:pt idx="19">
                  <c:v>3</c:v>
                </c:pt>
                <c:pt idx="20">
                  <c:v>4.0999999999999996</c:v>
                </c:pt>
                <c:pt idx="21">
                  <c:v>3.8</c:v>
                </c:pt>
                <c:pt idx="22">
                  <c:v>4.2</c:v>
                </c:pt>
                <c:pt idx="23">
                  <c:v>0</c:v>
                </c:pt>
                <c:pt idx="24">
                  <c:v>0</c:v>
                </c:pt>
                <c:pt idx="25">
                  <c:v>0</c:v>
                </c:pt>
                <c:pt idx="26">
                  <c:v>4.7</c:v>
                </c:pt>
                <c:pt idx="27">
                  <c:v>4.7</c:v>
                </c:pt>
                <c:pt idx="28">
                  <c:v>4</c:v>
                </c:pt>
                <c:pt idx="29">
                  <c:v>4.5999999999999996</c:v>
                </c:pt>
                <c:pt idx="30">
                  <c:v>0</c:v>
                </c:pt>
                <c:pt idx="31">
                  <c:v>4.7</c:v>
                </c:pt>
                <c:pt idx="32">
                  <c:v>4</c:v>
                </c:pt>
                <c:pt idx="33">
                  <c:v>4.5</c:v>
                </c:pt>
                <c:pt idx="34">
                  <c:v>0</c:v>
                </c:pt>
                <c:pt idx="35">
                  <c:v>0</c:v>
                </c:pt>
                <c:pt idx="36">
                  <c:v>4.5</c:v>
                </c:pt>
                <c:pt idx="37">
                  <c:v>3</c:v>
                </c:pt>
                <c:pt idx="38">
                  <c:v>5</c:v>
                </c:pt>
                <c:pt idx="39">
                  <c:v>0</c:v>
                </c:pt>
                <c:pt idx="40">
                  <c:v>0</c:v>
                </c:pt>
                <c:pt idx="41">
                  <c:v>4.3</c:v>
                </c:pt>
                <c:pt idx="42">
                  <c:v>0</c:v>
                </c:pt>
                <c:pt idx="43">
                  <c:v>0</c:v>
                </c:pt>
                <c:pt idx="44">
                  <c:v>0</c:v>
                </c:pt>
                <c:pt idx="45">
                  <c:v>4.5</c:v>
                </c:pt>
                <c:pt idx="46">
                  <c:v>0</c:v>
                </c:pt>
                <c:pt idx="47">
                  <c:v>0</c:v>
                </c:pt>
                <c:pt idx="48">
                  <c:v>3</c:v>
                </c:pt>
                <c:pt idx="49">
                  <c:v>2.2999999999999998</c:v>
                </c:pt>
                <c:pt idx="50">
                  <c:v>3.8</c:v>
                </c:pt>
                <c:pt idx="51">
                  <c:v>2.2000000000000002</c:v>
                </c:pt>
                <c:pt idx="52">
                  <c:v>0</c:v>
                </c:pt>
                <c:pt idx="53">
                  <c:v>2.6</c:v>
                </c:pt>
                <c:pt idx="54">
                  <c:v>0</c:v>
                </c:pt>
                <c:pt idx="55">
                  <c:v>3</c:v>
                </c:pt>
                <c:pt idx="56">
                  <c:v>5</c:v>
                </c:pt>
                <c:pt idx="57">
                  <c:v>2.1</c:v>
                </c:pt>
                <c:pt idx="58">
                  <c:v>2.2000000000000002</c:v>
                </c:pt>
                <c:pt idx="59">
                  <c:v>0</c:v>
                </c:pt>
                <c:pt idx="60">
                  <c:v>0</c:v>
                </c:pt>
                <c:pt idx="61">
                  <c:v>4.8</c:v>
                </c:pt>
                <c:pt idx="62">
                  <c:v>4.0999999999999996</c:v>
                </c:pt>
                <c:pt idx="63">
                  <c:v>0</c:v>
                </c:pt>
                <c:pt idx="64">
                  <c:v>4.3</c:v>
                </c:pt>
                <c:pt idx="65">
                  <c:v>0</c:v>
                </c:pt>
                <c:pt idx="66">
                  <c:v>0</c:v>
                </c:pt>
                <c:pt idx="67">
                  <c:v>0</c:v>
                </c:pt>
                <c:pt idx="68">
                  <c:v>5</c:v>
                </c:pt>
                <c:pt idx="69">
                  <c:v>4.5999999999999996</c:v>
                </c:pt>
                <c:pt idx="70">
                  <c:v>5</c:v>
                </c:pt>
                <c:pt idx="71">
                  <c:v>0</c:v>
                </c:pt>
                <c:pt idx="72">
                  <c:v>0</c:v>
                </c:pt>
                <c:pt idx="73">
                  <c:v>0</c:v>
                </c:pt>
                <c:pt idx="74">
                  <c:v>0</c:v>
                </c:pt>
                <c:pt idx="75">
                  <c:v>0</c:v>
                </c:pt>
                <c:pt idx="76">
                  <c:v>2.8</c:v>
                </c:pt>
                <c:pt idx="77">
                  <c:v>4</c:v>
                </c:pt>
                <c:pt idx="78">
                  <c:v>0</c:v>
                </c:pt>
                <c:pt idx="79">
                  <c:v>0</c:v>
                </c:pt>
                <c:pt idx="80">
                  <c:v>0</c:v>
                </c:pt>
                <c:pt idx="81">
                  <c:v>0</c:v>
                </c:pt>
                <c:pt idx="82">
                  <c:v>0</c:v>
                </c:pt>
                <c:pt idx="83">
                  <c:v>0</c:v>
                </c:pt>
                <c:pt idx="84">
                  <c:v>2.2999999999999998</c:v>
                </c:pt>
                <c:pt idx="85">
                  <c:v>0</c:v>
                </c:pt>
                <c:pt idx="86">
                  <c:v>2</c:v>
                </c:pt>
                <c:pt idx="87">
                  <c:v>0</c:v>
                </c:pt>
                <c:pt idx="88">
                  <c:v>0</c:v>
                </c:pt>
                <c:pt idx="89">
                  <c:v>5</c:v>
                </c:pt>
                <c:pt idx="90">
                  <c:v>2.7</c:v>
                </c:pt>
                <c:pt idx="91">
                  <c:v>4.3</c:v>
                </c:pt>
                <c:pt idx="92">
                  <c:v>5</c:v>
                </c:pt>
                <c:pt idx="93">
                  <c:v>3.3</c:v>
                </c:pt>
                <c:pt idx="94">
                  <c:v>4.3</c:v>
                </c:pt>
                <c:pt idx="95">
                  <c:v>3</c:v>
                </c:pt>
                <c:pt idx="96">
                  <c:v>2.1</c:v>
                </c:pt>
                <c:pt idx="97">
                  <c:v>4.8</c:v>
                </c:pt>
                <c:pt idx="98">
                  <c:v>0</c:v>
                </c:pt>
                <c:pt idx="99">
                  <c:v>0</c:v>
                </c:pt>
                <c:pt idx="100">
                  <c:v>0</c:v>
                </c:pt>
              </c:numCache>
            </c:numRef>
          </c:yVal>
          <c:smooth val="0"/>
          <c:extLst>
            <c:ext xmlns:c16="http://schemas.microsoft.com/office/drawing/2014/chart" uri="{C3380CC4-5D6E-409C-BE32-E72D297353CC}">
              <c16:uniqueId val="{00000000-8019-4D08-8156-1ABB959EDF9B}"/>
            </c:ext>
          </c:extLst>
        </c:ser>
        <c:dLbls>
          <c:showLegendKey val="0"/>
          <c:showVal val="0"/>
          <c:showCatName val="0"/>
          <c:showSerName val="0"/>
          <c:showPercent val="0"/>
          <c:showBubbleSize val="0"/>
        </c:dLbls>
        <c:axId val="497442240"/>
        <c:axId val="2066347248"/>
      </c:scatterChart>
      <c:valAx>
        <c:axId val="4974422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6347248"/>
        <c:crosses val="autoZero"/>
        <c:crossBetween val="midCat"/>
      </c:valAx>
      <c:valAx>
        <c:axId val="2066347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42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Current</a:t>
            </a:r>
            <a:r>
              <a:rPr lang="pt-BR" b="1" baseline="0">
                <a:solidFill>
                  <a:sysClr val="windowText" lastClr="000000"/>
                </a:solidFill>
              </a:rPr>
              <a:t> Price vs Ratings</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Cleaned_Data!$I$1:$I$12</c:f>
              <c:strCache>
                <c:ptCount val="12"/>
                <c:pt idx="0">
                  <c:v>Rating</c:v>
                </c:pt>
              </c:strCache>
            </c:strRef>
          </c:tx>
          <c:spPr>
            <a:ln w="38100" cap="rnd">
              <a:noFill/>
              <a:round/>
            </a:ln>
            <a:effectLst/>
          </c:spPr>
          <c:marker>
            <c:symbol val="circle"/>
            <c:size val="5"/>
            <c:spPr>
              <a:solidFill>
                <a:schemeClr val="accent2"/>
              </a:solidFill>
              <a:ln w="9525">
                <a:solidFill>
                  <a:schemeClr val="accent2"/>
                </a:solidFill>
              </a:ln>
              <a:effectLst/>
            </c:spPr>
          </c:marker>
          <c:xVal>
            <c:numRef>
              <c:f>Cleaned_Data!$B$13:$B$118</c:f>
              <c:numCache>
                <c:formatCode>"Ksh"#,##0.00</c:formatCode>
                <c:ptCount val="106"/>
                <c:pt idx="0">
                  <c:v>2999</c:v>
                </c:pt>
                <c:pt idx="1">
                  <c:v>525</c:v>
                </c:pt>
                <c:pt idx="2">
                  <c:v>2170</c:v>
                </c:pt>
                <c:pt idx="3">
                  <c:v>475</c:v>
                </c:pt>
                <c:pt idx="4">
                  <c:v>274</c:v>
                </c:pt>
                <c:pt idx="5">
                  <c:v>2880</c:v>
                </c:pt>
                <c:pt idx="6">
                  <c:v>2999</c:v>
                </c:pt>
                <c:pt idx="7">
                  <c:v>799</c:v>
                </c:pt>
                <c:pt idx="8">
                  <c:v>3640</c:v>
                </c:pt>
                <c:pt idx="9">
                  <c:v>1220</c:v>
                </c:pt>
                <c:pt idx="10">
                  <c:v>248</c:v>
                </c:pt>
                <c:pt idx="11">
                  <c:v>1650</c:v>
                </c:pt>
                <c:pt idx="12">
                  <c:v>2319</c:v>
                </c:pt>
                <c:pt idx="13">
                  <c:v>230</c:v>
                </c:pt>
                <c:pt idx="14">
                  <c:v>2199</c:v>
                </c:pt>
                <c:pt idx="15">
                  <c:v>1740</c:v>
                </c:pt>
                <c:pt idx="16">
                  <c:v>176</c:v>
                </c:pt>
                <c:pt idx="17">
                  <c:v>1980</c:v>
                </c:pt>
                <c:pt idx="18">
                  <c:v>1940</c:v>
                </c:pt>
                <c:pt idx="19">
                  <c:v>2300</c:v>
                </c:pt>
                <c:pt idx="20">
                  <c:v>1758</c:v>
                </c:pt>
                <c:pt idx="21">
                  <c:v>1350</c:v>
                </c:pt>
                <c:pt idx="22">
                  <c:v>1680</c:v>
                </c:pt>
                <c:pt idx="23">
                  <c:v>1300</c:v>
                </c:pt>
                <c:pt idx="24">
                  <c:v>699</c:v>
                </c:pt>
                <c:pt idx="25">
                  <c:v>105</c:v>
                </c:pt>
                <c:pt idx="26">
                  <c:v>990</c:v>
                </c:pt>
                <c:pt idx="27">
                  <c:v>980</c:v>
                </c:pt>
                <c:pt idx="28">
                  <c:v>880</c:v>
                </c:pt>
                <c:pt idx="29">
                  <c:v>420</c:v>
                </c:pt>
                <c:pt idx="30">
                  <c:v>899</c:v>
                </c:pt>
                <c:pt idx="31">
                  <c:v>1580</c:v>
                </c:pt>
                <c:pt idx="32">
                  <c:v>988</c:v>
                </c:pt>
                <c:pt idx="33">
                  <c:v>1800</c:v>
                </c:pt>
                <c:pt idx="34">
                  <c:v>790</c:v>
                </c:pt>
                <c:pt idx="35">
                  <c:v>169</c:v>
                </c:pt>
                <c:pt idx="36">
                  <c:v>950</c:v>
                </c:pt>
                <c:pt idx="37">
                  <c:v>3750</c:v>
                </c:pt>
                <c:pt idx="38">
                  <c:v>1620</c:v>
                </c:pt>
                <c:pt idx="39">
                  <c:v>2200</c:v>
                </c:pt>
                <c:pt idx="40">
                  <c:v>499</c:v>
                </c:pt>
                <c:pt idx="41">
                  <c:v>389</c:v>
                </c:pt>
                <c:pt idx="42">
                  <c:v>690</c:v>
                </c:pt>
                <c:pt idx="43">
                  <c:v>630</c:v>
                </c:pt>
                <c:pt idx="44">
                  <c:v>1860</c:v>
                </c:pt>
                <c:pt idx="45">
                  <c:v>501</c:v>
                </c:pt>
                <c:pt idx="46">
                  <c:v>1080</c:v>
                </c:pt>
                <c:pt idx="47">
                  <c:v>610</c:v>
                </c:pt>
                <c:pt idx="48">
                  <c:v>509</c:v>
                </c:pt>
                <c:pt idx="49">
                  <c:v>345</c:v>
                </c:pt>
                <c:pt idx="50">
                  <c:v>1600</c:v>
                </c:pt>
                <c:pt idx="51">
                  <c:v>990</c:v>
                </c:pt>
                <c:pt idx="52">
                  <c:v>1420</c:v>
                </c:pt>
                <c:pt idx="53">
                  <c:v>382</c:v>
                </c:pt>
                <c:pt idx="54">
                  <c:v>799</c:v>
                </c:pt>
                <c:pt idx="55">
                  <c:v>1189</c:v>
                </c:pt>
                <c:pt idx="56">
                  <c:v>195</c:v>
                </c:pt>
                <c:pt idx="57">
                  <c:v>1570</c:v>
                </c:pt>
                <c:pt idx="58">
                  <c:v>968</c:v>
                </c:pt>
                <c:pt idx="59">
                  <c:v>2750</c:v>
                </c:pt>
                <c:pt idx="60">
                  <c:v>1200</c:v>
                </c:pt>
                <c:pt idx="61">
                  <c:v>552</c:v>
                </c:pt>
                <c:pt idx="62">
                  <c:v>527</c:v>
                </c:pt>
                <c:pt idx="63">
                  <c:v>1460</c:v>
                </c:pt>
                <c:pt idx="64">
                  <c:v>1820</c:v>
                </c:pt>
                <c:pt idx="65">
                  <c:v>1190</c:v>
                </c:pt>
                <c:pt idx="66">
                  <c:v>1150</c:v>
                </c:pt>
                <c:pt idx="67">
                  <c:v>1190</c:v>
                </c:pt>
                <c:pt idx="68">
                  <c:v>2025</c:v>
                </c:pt>
                <c:pt idx="69">
                  <c:v>998</c:v>
                </c:pt>
                <c:pt idx="70">
                  <c:v>979</c:v>
                </c:pt>
                <c:pt idx="71">
                  <c:v>2799</c:v>
                </c:pt>
                <c:pt idx="72">
                  <c:v>198</c:v>
                </c:pt>
                <c:pt idx="73">
                  <c:v>299</c:v>
                </c:pt>
                <c:pt idx="74">
                  <c:v>1466</c:v>
                </c:pt>
                <c:pt idx="75">
                  <c:v>1468</c:v>
                </c:pt>
                <c:pt idx="76">
                  <c:v>445</c:v>
                </c:pt>
                <c:pt idx="77">
                  <c:v>330</c:v>
                </c:pt>
                <c:pt idx="78">
                  <c:v>799</c:v>
                </c:pt>
                <c:pt idx="79">
                  <c:v>1526</c:v>
                </c:pt>
                <c:pt idx="80">
                  <c:v>3546</c:v>
                </c:pt>
                <c:pt idx="81">
                  <c:v>1732</c:v>
                </c:pt>
                <c:pt idx="82">
                  <c:v>1459</c:v>
                </c:pt>
                <c:pt idx="83">
                  <c:v>1658</c:v>
                </c:pt>
                <c:pt idx="84">
                  <c:v>1000</c:v>
                </c:pt>
                <c:pt idx="85">
                  <c:v>1660</c:v>
                </c:pt>
                <c:pt idx="86">
                  <c:v>450</c:v>
                </c:pt>
                <c:pt idx="87">
                  <c:v>2132</c:v>
                </c:pt>
                <c:pt idx="88">
                  <c:v>1462</c:v>
                </c:pt>
                <c:pt idx="89">
                  <c:v>332</c:v>
                </c:pt>
                <c:pt idx="90">
                  <c:v>325</c:v>
                </c:pt>
                <c:pt idx="91">
                  <c:v>185</c:v>
                </c:pt>
                <c:pt idx="92">
                  <c:v>171</c:v>
                </c:pt>
                <c:pt idx="93">
                  <c:v>38</c:v>
                </c:pt>
                <c:pt idx="94">
                  <c:v>2048</c:v>
                </c:pt>
                <c:pt idx="95">
                  <c:v>458</c:v>
                </c:pt>
                <c:pt idx="96">
                  <c:v>2115</c:v>
                </c:pt>
                <c:pt idx="97">
                  <c:v>1274</c:v>
                </c:pt>
                <c:pt idx="98">
                  <c:v>1666</c:v>
                </c:pt>
                <c:pt idx="99">
                  <c:v>1768</c:v>
                </c:pt>
                <c:pt idx="100">
                  <c:v>1875</c:v>
                </c:pt>
                <c:pt idx="102">
                  <c:v>3750</c:v>
                </c:pt>
                <c:pt idx="103">
                  <c:v>38</c:v>
                </c:pt>
                <c:pt idx="104">
                  <c:v>1186.8928571428571</c:v>
                </c:pt>
                <c:pt idx="105">
                  <c:v>998.5</c:v>
                </c:pt>
              </c:numCache>
            </c:numRef>
          </c:xVal>
          <c:yVal>
            <c:numRef>
              <c:f>Cleaned_Data!$I$13:$I$118</c:f>
              <c:numCache>
                <c:formatCode>0.0</c:formatCode>
                <c:ptCount val="106"/>
                <c:pt idx="0">
                  <c:v>4</c:v>
                </c:pt>
                <c:pt idx="1">
                  <c:v>0</c:v>
                </c:pt>
                <c:pt idx="2">
                  <c:v>2.5</c:v>
                </c:pt>
                <c:pt idx="3">
                  <c:v>0</c:v>
                </c:pt>
                <c:pt idx="4">
                  <c:v>0</c:v>
                </c:pt>
                <c:pt idx="5">
                  <c:v>3.8</c:v>
                </c:pt>
                <c:pt idx="6">
                  <c:v>4.5999999999999996</c:v>
                </c:pt>
                <c:pt idx="7">
                  <c:v>4.0999999999999996</c:v>
                </c:pt>
                <c:pt idx="8">
                  <c:v>5</c:v>
                </c:pt>
                <c:pt idx="9">
                  <c:v>2.9</c:v>
                </c:pt>
                <c:pt idx="10">
                  <c:v>0</c:v>
                </c:pt>
                <c:pt idx="11">
                  <c:v>4.4000000000000004</c:v>
                </c:pt>
                <c:pt idx="12">
                  <c:v>4.5999999999999996</c:v>
                </c:pt>
                <c:pt idx="13">
                  <c:v>0</c:v>
                </c:pt>
                <c:pt idx="14">
                  <c:v>4.5999999999999996</c:v>
                </c:pt>
                <c:pt idx="15">
                  <c:v>4.8</c:v>
                </c:pt>
                <c:pt idx="16">
                  <c:v>0</c:v>
                </c:pt>
                <c:pt idx="17">
                  <c:v>4.5</c:v>
                </c:pt>
                <c:pt idx="18">
                  <c:v>4.7</c:v>
                </c:pt>
                <c:pt idx="19">
                  <c:v>3</c:v>
                </c:pt>
                <c:pt idx="20">
                  <c:v>4.0999999999999996</c:v>
                </c:pt>
                <c:pt idx="21">
                  <c:v>3.8</c:v>
                </c:pt>
                <c:pt idx="22">
                  <c:v>4.2</c:v>
                </c:pt>
                <c:pt idx="23">
                  <c:v>0</c:v>
                </c:pt>
                <c:pt idx="24">
                  <c:v>0</c:v>
                </c:pt>
                <c:pt idx="25">
                  <c:v>0</c:v>
                </c:pt>
                <c:pt idx="26">
                  <c:v>4.7</c:v>
                </c:pt>
                <c:pt idx="27">
                  <c:v>4.7</c:v>
                </c:pt>
                <c:pt idx="28">
                  <c:v>4</c:v>
                </c:pt>
                <c:pt idx="29">
                  <c:v>4.5999999999999996</c:v>
                </c:pt>
                <c:pt idx="30">
                  <c:v>0</c:v>
                </c:pt>
                <c:pt idx="31">
                  <c:v>4.7</c:v>
                </c:pt>
                <c:pt idx="32">
                  <c:v>4</c:v>
                </c:pt>
                <c:pt idx="33">
                  <c:v>4.5</c:v>
                </c:pt>
                <c:pt idx="34">
                  <c:v>0</c:v>
                </c:pt>
                <c:pt idx="35">
                  <c:v>0</c:v>
                </c:pt>
                <c:pt idx="36">
                  <c:v>4.5</c:v>
                </c:pt>
                <c:pt idx="37">
                  <c:v>3</c:v>
                </c:pt>
                <c:pt idx="38">
                  <c:v>5</c:v>
                </c:pt>
                <c:pt idx="39">
                  <c:v>0</c:v>
                </c:pt>
                <c:pt idx="40">
                  <c:v>0</c:v>
                </c:pt>
                <c:pt idx="41">
                  <c:v>4.3</c:v>
                </c:pt>
                <c:pt idx="42">
                  <c:v>0</c:v>
                </c:pt>
                <c:pt idx="43">
                  <c:v>0</c:v>
                </c:pt>
                <c:pt idx="44">
                  <c:v>0</c:v>
                </c:pt>
                <c:pt idx="45">
                  <c:v>4.5</c:v>
                </c:pt>
                <c:pt idx="46">
                  <c:v>0</c:v>
                </c:pt>
                <c:pt idx="47">
                  <c:v>0</c:v>
                </c:pt>
                <c:pt idx="48">
                  <c:v>3</c:v>
                </c:pt>
                <c:pt idx="49">
                  <c:v>2.2999999999999998</c:v>
                </c:pt>
                <c:pt idx="50">
                  <c:v>3.8</c:v>
                </c:pt>
                <c:pt idx="51">
                  <c:v>2.2000000000000002</c:v>
                </c:pt>
                <c:pt idx="52">
                  <c:v>0</c:v>
                </c:pt>
                <c:pt idx="53">
                  <c:v>2.6</c:v>
                </c:pt>
                <c:pt idx="54">
                  <c:v>0</c:v>
                </c:pt>
                <c:pt idx="55">
                  <c:v>3</c:v>
                </c:pt>
                <c:pt idx="56">
                  <c:v>5</c:v>
                </c:pt>
                <c:pt idx="57">
                  <c:v>2.1</c:v>
                </c:pt>
                <c:pt idx="58">
                  <c:v>2.2000000000000002</c:v>
                </c:pt>
                <c:pt idx="59">
                  <c:v>0</c:v>
                </c:pt>
                <c:pt idx="60">
                  <c:v>0</c:v>
                </c:pt>
                <c:pt idx="61">
                  <c:v>4.8</c:v>
                </c:pt>
                <c:pt idx="62">
                  <c:v>4.0999999999999996</c:v>
                </c:pt>
                <c:pt idx="63">
                  <c:v>0</c:v>
                </c:pt>
                <c:pt idx="64">
                  <c:v>4.3</c:v>
                </c:pt>
                <c:pt idx="65">
                  <c:v>0</c:v>
                </c:pt>
                <c:pt idx="66">
                  <c:v>0</c:v>
                </c:pt>
                <c:pt idx="67">
                  <c:v>0</c:v>
                </c:pt>
                <c:pt idx="68">
                  <c:v>5</c:v>
                </c:pt>
                <c:pt idx="69">
                  <c:v>4.5999999999999996</c:v>
                </c:pt>
                <c:pt idx="70">
                  <c:v>5</c:v>
                </c:pt>
                <c:pt idx="71">
                  <c:v>0</c:v>
                </c:pt>
                <c:pt idx="72">
                  <c:v>0</c:v>
                </c:pt>
                <c:pt idx="73">
                  <c:v>0</c:v>
                </c:pt>
                <c:pt idx="74">
                  <c:v>0</c:v>
                </c:pt>
                <c:pt idx="75">
                  <c:v>0</c:v>
                </c:pt>
                <c:pt idx="76">
                  <c:v>2.8</c:v>
                </c:pt>
                <c:pt idx="77">
                  <c:v>4</c:v>
                </c:pt>
                <c:pt idx="78">
                  <c:v>0</c:v>
                </c:pt>
                <c:pt idx="79">
                  <c:v>0</c:v>
                </c:pt>
                <c:pt idx="80">
                  <c:v>0</c:v>
                </c:pt>
                <c:pt idx="81">
                  <c:v>0</c:v>
                </c:pt>
                <c:pt idx="82">
                  <c:v>0</c:v>
                </c:pt>
                <c:pt idx="83">
                  <c:v>0</c:v>
                </c:pt>
                <c:pt idx="84">
                  <c:v>2.2999999999999998</c:v>
                </c:pt>
                <c:pt idx="85">
                  <c:v>0</c:v>
                </c:pt>
                <c:pt idx="86">
                  <c:v>2</c:v>
                </c:pt>
                <c:pt idx="87">
                  <c:v>0</c:v>
                </c:pt>
                <c:pt idx="88">
                  <c:v>0</c:v>
                </c:pt>
                <c:pt idx="89">
                  <c:v>5</c:v>
                </c:pt>
                <c:pt idx="90">
                  <c:v>2.7</c:v>
                </c:pt>
                <c:pt idx="91">
                  <c:v>4.3</c:v>
                </c:pt>
                <c:pt idx="92">
                  <c:v>5</c:v>
                </c:pt>
                <c:pt idx="93">
                  <c:v>3.3</c:v>
                </c:pt>
                <c:pt idx="94">
                  <c:v>4.3</c:v>
                </c:pt>
                <c:pt idx="95">
                  <c:v>3</c:v>
                </c:pt>
                <c:pt idx="96">
                  <c:v>2.1</c:v>
                </c:pt>
                <c:pt idx="97">
                  <c:v>4.8</c:v>
                </c:pt>
                <c:pt idx="98">
                  <c:v>0</c:v>
                </c:pt>
                <c:pt idx="99">
                  <c:v>0</c:v>
                </c:pt>
                <c:pt idx="100">
                  <c:v>0</c:v>
                </c:pt>
              </c:numCache>
            </c:numRef>
          </c:yVal>
          <c:smooth val="0"/>
          <c:extLst>
            <c:ext xmlns:c16="http://schemas.microsoft.com/office/drawing/2014/chart" uri="{C3380CC4-5D6E-409C-BE32-E72D297353CC}">
              <c16:uniqueId val="{00000000-0D2A-4494-B078-6305E7E64E2B}"/>
            </c:ext>
          </c:extLst>
        </c:ser>
        <c:dLbls>
          <c:showLegendKey val="0"/>
          <c:showVal val="0"/>
          <c:showCatName val="0"/>
          <c:showSerName val="0"/>
          <c:showPercent val="0"/>
          <c:showBubbleSize val="0"/>
        </c:dLbls>
        <c:axId val="1384562591"/>
        <c:axId val="501790192"/>
      </c:scatterChart>
      <c:valAx>
        <c:axId val="1384562591"/>
        <c:scaling>
          <c:orientation val="minMax"/>
        </c:scaling>
        <c:delete val="0"/>
        <c:axPos val="b"/>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1790192"/>
        <c:crosses val="autoZero"/>
        <c:crossBetween val="midCat"/>
      </c:valAx>
      <c:valAx>
        <c:axId val="50179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4562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Performance!PivotTable29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Rating</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Performance'!$B$2</c:f>
              <c:strCache>
                <c:ptCount val="1"/>
                <c:pt idx="0">
                  <c:v>Total</c:v>
                </c:pt>
              </c:strCache>
            </c:strRef>
          </c:tx>
          <c:spPr>
            <a:solidFill>
              <a:schemeClr val="accent2"/>
            </a:solidFill>
            <a:ln>
              <a:noFill/>
            </a:ln>
            <a:effectLst/>
          </c:spPr>
          <c:invertIfNegative val="0"/>
          <c:cat>
            <c:strRef>
              <c:f>'Product Performance'!$A$3:$A$13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Performance'!$B$3:$B$13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8818-4941-BFF3-BB6D3ED997F1}"/>
            </c:ext>
          </c:extLst>
        </c:ser>
        <c:dLbls>
          <c:showLegendKey val="0"/>
          <c:showVal val="0"/>
          <c:showCatName val="0"/>
          <c:showSerName val="0"/>
          <c:showPercent val="0"/>
          <c:showBubbleSize val="0"/>
        </c:dLbls>
        <c:gapWidth val="182"/>
        <c:axId val="497470544"/>
        <c:axId val="601989904"/>
      </c:barChart>
      <c:catAx>
        <c:axId val="4974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989904"/>
        <c:crosses val="autoZero"/>
        <c:auto val="1"/>
        <c:lblAlgn val="ctr"/>
        <c:lblOffset val="100"/>
        <c:noMultiLvlLbl val="0"/>
      </c:catAx>
      <c:valAx>
        <c:axId val="60198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7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[jumia_product_performance_analysis.xlsx]Product Performance!PivotTable30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Reviews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Performance'!$B$16</c:f>
              <c:strCache>
                <c:ptCount val="1"/>
                <c:pt idx="0">
                  <c:v>Total</c:v>
                </c:pt>
              </c:strCache>
            </c:strRef>
          </c:tx>
          <c:spPr>
            <a:solidFill>
              <a:schemeClr val="accent2"/>
            </a:solidFill>
            <a:ln>
              <a:noFill/>
            </a:ln>
            <a:effectLst/>
          </c:spPr>
          <c:invertIfNegative val="0"/>
          <c:cat>
            <c:strRef>
              <c:f>'Product Performance'!$A$17:$A$27</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'Product Performance'!$B$17:$B$27</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AC40-47F4-B4FD-F1BF545EB2EE}"/>
            </c:ext>
          </c:extLst>
        </c:ser>
        <c:dLbls>
          <c:showLegendKey val="0"/>
          <c:showVal val="0"/>
          <c:showCatName val="0"/>
          <c:showSerName val="0"/>
          <c:showPercent val="0"/>
          <c:showBubbleSize val="0"/>
        </c:dLbls>
        <c:gapWidth val="182"/>
        <c:axId val="497445952"/>
        <c:axId val="602016304"/>
      </c:barChart>
      <c:catAx>
        <c:axId val="49744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2016304"/>
        <c:crosses val="autoZero"/>
        <c:auto val="1"/>
        <c:lblAlgn val="ctr"/>
        <c:lblOffset val="100"/>
        <c:noMultiLvlLbl val="0"/>
      </c:catAx>
      <c:valAx>
        <c:axId val="60201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[jumia_product_performance_analysis.xlsx]Product Performance!PivotTable31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Ten Products by Discount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Performance'!$B$29</c:f>
              <c:strCache>
                <c:ptCount val="1"/>
                <c:pt idx="0">
                  <c:v>Total</c:v>
                </c:pt>
              </c:strCache>
            </c:strRef>
          </c:tx>
          <c:spPr>
            <a:solidFill>
              <a:schemeClr val="accent2"/>
            </a:solidFill>
            <a:ln>
              <a:noFill/>
            </a:ln>
            <a:effectLst/>
          </c:spPr>
          <c:invertIfNegative val="0"/>
          <c:cat>
            <c:strRef>
              <c:f>'Product Performance'!$A$30:$A$40</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'Product Performance'!$B$30:$B$40</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CC3F-4718-8761-5CEEBA2A436C}"/>
            </c:ext>
          </c:extLst>
        </c:ser>
        <c:dLbls>
          <c:showLegendKey val="0"/>
          <c:showVal val="0"/>
          <c:showCatName val="0"/>
          <c:showSerName val="0"/>
          <c:showPercent val="0"/>
          <c:showBubbleSize val="0"/>
        </c:dLbls>
        <c:gapWidth val="182"/>
        <c:axId val="497406512"/>
        <c:axId val="602007664"/>
      </c:barChart>
      <c:catAx>
        <c:axId val="49740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2007664"/>
        <c:crosses val="autoZero"/>
        <c:auto val="1"/>
        <c:lblAlgn val="ctr"/>
        <c:lblOffset val="100"/>
        <c:noMultiLvlLbl val="0"/>
      </c:catAx>
      <c:valAx>
        <c:axId val="602007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Discounts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Cleaned_Data!$H$1</c:f>
              <c:strCache>
                <c:ptCount val="1"/>
                <c:pt idx="0">
                  <c:v>Review</c:v>
                </c:pt>
              </c:strCache>
            </c:strRef>
          </c:tx>
          <c:spPr>
            <a:ln w="38100" cap="rnd">
              <a:noFill/>
              <a:round/>
            </a:ln>
            <a:effectLst/>
          </c:spPr>
          <c:marker>
            <c:symbol val="circle"/>
            <c:size val="5"/>
            <c:spPr>
              <a:solidFill>
                <a:schemeClr val="accent2"/>
              </a:solidFill>
              <a:ln w="9525">
                <a:solidFill>
                  <a:schemeClr val="accent2"/>
                </a:solidFill>
              </a:ln>
              <a:effectLst/>
            </c:spPr>
          </c:marker>
          <c:xVal>
            <c:numRef>
              <c:f>Cleaned_Data!$F$2:$F$118</c:f>
              <c:numCache>
                <c:formatCode>0%</c:formatCode>
                <c:ptCount val="117"/>
                <c:pt idx="0">
                  <c:v>0.64</c:v>
                </c:pt>
                <c:pt idx="1">
                  <c:v>0.61</c:v>
                </c:pt>
                <c:pt idx="2">
                  <c:v>0.55000000000000004</c:v>
                </c:pt>
                <c:pt idx="3">
                  <c:v>0.5</c:v>
                </c:pt>
                <c:pt idx="4">
                  <c:v>0.5</c:v>
                </c:pt>
                <c:pt idx="5">
                  <c:v>0.5</c:v>
                </c:pt>
                <c:pt idx="6">
                  <c:v>0.5</c:v>
                </c:pt>
                <c:pt idx="7">
                  <c:v>0.5</c:v>
                </c:pt>
                <c:pt idx="8">
                  <c:v>0.49</c:v>
                </c:pt>
                <c:pt idx="9">
                  <c:v>0.49</c:v>
                </c:pt>
                <c:pt idx="10">
                  <c:v>0.49</c:v>
                </c:pt>
                <c:pt idx="11">
                  <c:v>0.09</c:v>
                </c:pt>
                <c:pt idx="12">
                  <c:v>0.49</c:v>
                </c:pt>
                <c:pt idx="13">
                  <c:v>0.13</c:v>
                </c:pt>
                <c:pt idx="14">
                  <c:v>0.49</c:v>
                </c:pt>
                <c:pt idx="15">
                  <c:v>0.49</c:v>
                </c:pt>
                <c:pt idx="16">
                  <c:v>0.18</c:v>
                </c:pt>
                <c:pt idx="17">
                  <c:v>0.19</c:v>
                </c:pt>
                <c:pt idx="18">
                  <c:v>0.2</c:v>
                </c:pt>
                <c:pt idx="19">
                  <c:v>0.21</c:v>
                </c:pt>
                <c:pt idx="20">
                  <c:v>0.22</c:v>
                </c:pt>
                <c:pt idx="21">
                  <c:v>0.49</c:v>
                </c:pt>
                <c:pt idx="22">
                  <c:v>0.23</c:v>
                </c:pt>
                <c:pt idx="23">
                  <c:v>0.24</c:v>
                </c:pt>
                <c:pt idx="24">
                  <c:v>0.49</c:v>
                </c:pt>
                <c:pt idx="25">
                  <c:v>0.25</c:v>
                </c:pt>
                <c:pt idx="26">
                  <c:v>0.26</c:v>
                </c:pt>
                <c:pt idx="27">
                  <c:v>0.49</c:v>
                </c:pt>
                <c:pt idx="28">
                  <c:v>0.27</c:v>
                </c:pt>
                <c:pt idx="29">
                  <c:v>0.27</c:v>
                </c:pt>
                <c:pt idx="30">
                  <c:v>0.28999999999999998</c:v>
                </c:pt>
                <c:pt idx="31">
                  <c:v>0.3</c:v>
                </c:pt>
                <c:pt idx="32">
                  <c:v>0.32</c:v>
                </c:pt>
                <c:pt idx="33">
                  <c:v>0.33</c:v>
                </c:pt>
                <c:pt idx="34">
                  <c:v>0.48</c:v>
                </c:pt>
                <c:pt idx="35">
                  <c:v>0.48</c:v>
                </c:pt>
                <c:pt idx="36">
                  <c:v>0.48</c:v>
                </c:pt>
                <c:pt idx="37">
                  <c:v>0.34</c:v>
                </c:pt>
                <c:pt idx="38">
                  <c:v>0.34</c:v>
                </c:pt>
                <c:pt idx="39">
                  <c:v>0.35</c:v>
                </c:pt>
                <c:pt idx="40">
                  <c:v>0.35</c:v>
                </c:pt>
                <c:pt idx="41">
                  <c:v>0.47</c:v>
                </c:pt>
                <c:pt idx="42">
                  <c:v>0.37</c:v>
                </c:pt>
                <c:pt idx="43">
                  <c:v>0.37</c:v>
                </c:pt>
                <c:pt idx="44">
                  <c:v>0.38</c:v>
                </c:pt>
                <c:pt idx="45">
                  <c:v>0.47</c:v>
                </c:pt>
                <c:pt idx="46">
                  <c:v>0.47</c:v>
                </c:pt>
                <c:pt idx="47">
                  <c:v>0.38</c:v>
                </c:pt>
                <c:pt idx="48">
                  <c:v>0.39</c:v>
                </c:pt>
                <c:pt idx="49">
                  <c:v>0.4</c:v>
                </c:pt>
                <c:pt idx="50">
                  <c:v>0.46</c:v>
                </c:pt>
                <c:pt idx="51">
                  <c:v>0.45</c:v>
                </c:pt>
                <c:pt idx="52">
                  <c:v>0.41</c:v>
                </c:pt>
                <c:pt idx="53">
                  <c:v>0.43</c:v>
                </c:pt>
                <c:pt idx="54">
                  <c:v>0.43</c:v>
                </c:pt>
                <c:pt idx="55">
                  <c:v>0.42</c:v>
                </c:pt>
                <c:pt idx="56">
                  <c:v>0.42</c:v>
                </c:pt>
                <c:pt idx="57">
                  <c:v>0.42</c:v>
                </c:pt>
                <c:pt idx="58">
                  <c:v>0.42</c:v>
                </c:pt>
                <c:pt idx="59">
                  <c:v>0.43</c:v>
                </c:pt>
                <c:pt idx="60">
                  <c:v>0.43</c:v>
                </c:pt>
                <c:pt idx="61">
                  <c:v>0.45</c:v>
                </c:pt>
                <c:pt idx="62">
                  <c:v>0.45</c:v>
                </c:pt>
                <c:pt idx="63">
                  <c:v>0.41</c:v>
                </c:pt>
                <c:pt idx="64">
                  <c:v>0.45</c:v>
                </c:pt>
                <c:pt idx="65">
                  <c:v>0.41</c:v>
                </c:pt>
                <c:pt idx="66">
                  <c:v>0.46</c:v>
                </c:pt>
                <c:pt idx="67">
                  <c:v>0.46</c:v>
                </c:pt>
                <c:pt idx="68">
                  <c:v>0.47</c:v>
                </c:pt>
                <c:pt idx="69">
                  <c:v>0.47</c:v>
                </c:pt>
                <c:pt idx="70">
                  <c:v>0.38</c:v>
                </c:pt>
                <c:pt idx="71">
                  <c:v>0.38</c:v>
                </c:pt>
                <c:pt idx="72">
                  <c:v>0.47</c:v>
                </c:pt>
                <c:pt idx="73">
                  <c:v>0.47</c:v>
                </c:pt>
                <c:pt idx="74">
                  <c:v>0.36</c:v>
                </c:pt>
                <c:pt idx="75">
                  <c:v>0.48</c:v>
                </c:pt>
                <c:pt idx="76">
                  <c:v>0.34</c:v>
                </c:pt>
                <c:pt idx="77">
                  <c:v>0.34</c:v>
                </c:pt>
                <c:pt idx="78">
                  <c:v>0.33</c:v>
                </c:pt>
                <c:pt idx="79">
                  <c:v>0.49</c:v>
                </c:pt>
                <c:pt idx="80">
                  <c:v>0.49</c:v>
                </c:pt>
                <c:pt idx="81">
                  <c:v>0.49</c:v>
                </c:pt>
                <c:pt idx="82">
                  <c:v>0.27</c:v>
                </c:pt>
                <c:pt idx="83">
                  <c:v>0.24</c:v>
                </c:pt>
                <c:pt idx="84">
                  <c:v>0.22</c:v>
                </c:pt>
                <c:pt idx="85">
                  <c:v>0.14000000000000001</c:v>
                </c:pt>
                <c:pt idx="86">
                  <c:v>0.14000000000000001</c:v>
                </c:pt>
                <c:pt idx="87">
                  <c:v>0.49</c:v>
                </c:pt>
                <c:pt idx="88">
                  <c:v>0.49</c:v>
                </c:pt>
                <c:pt idx="89">
                  <c:v>0.11</c:v>
                </c:pt>
                <c:pt idx="90">
                  <c:v>0.08</c:v>
                </c:pt>
                <c:pt idx="91">
                  <c:v>0.04</c:v>
                </c:pt>
                <c:pt idx="92">
                  <c:v>0.04</c:v>
                </c:pt>
                <c:pt idx="93">
                  <c:v>0.03</c:v>
                </c:pt>
                <c:pt idx="94">
                  <c:v>0.02</c:v>
                </c:pt>
                <c:pt idx="95">
                  <c:v>0.5</c:v>
                </c:pt>
                <c:pt idx="96">
                  <c:v>0.02</c:v>
                </c:pt>
                <c:pt idx="97">
                  <c:v>0.5</c:v>
                </c:pt>
                <c:pt idx="98">
                  <c:v>0.02</c:v>
                </c:pt>
                <c:pt idx="99">
                  <c:v>0.02</c:v>
                </c:pt>
                <c:pt idx="100">
                  <c:v>0.51</c:v>
                </c:pt>
                <c:pt idx="101">
                  <c:v>0.52</c:v>
                </c:pt>
                <c:pt idx="102">
                  <c:v>0.52</c:v>
                </c:pt>
                <c:pt idx="103">
                  <c:v>0.53</c:v>
                </c:pt>
                <c:pt idx="104">
                  <c:v>0.53</c:v>
                </c:pt>
                <c:pt idx="105">
                  <c:v>0.54</c:v>
                </c:pt>
                <c:pt idx="106">
                  <c:v>0.54</c:v>
                </c:pt>
                <c:pt idx="107">
                  <c:v>0.55000000000000004</c:v>
                </c:pt>
                <c:pt idx="108">
                  <c:v>0.55000000000000004</c:v>
                </c:pt>
                <c:pt idx="109">
                  <c:v>0.02</c:v>
                </c:pt>
                <c:pt idx="110">
                  <c:v>0.02</c:v>
                </c:pt>
                <c:pt idx="111">
                  <c:v>0.01</c:v>
                </c:pt>
              </c:numCache>
            </c:numRef>
          </c:xVal>
          <c:yVal>
            <c:numRef>
              <c:f>Cleaned_Data!$H$2:$H$118</c:f>
              <c:numCache>
                <c:formatCode>0</c:formatCode>
                <c:ptCount val="117"/>
                <c:pt idx="11">
                  <c:v>15</c:v>
                </c:pt>
                <c:pt idx="13">
                  <c:v>6</c:v>
                </c:pt>
                <c:pt idx="16">
                  <c:v>12</c:v>
                </c:pt>
                <c:pt idx="17">
                  <c:v>5</c:v>
                </c:pt>
                <c:pt idx="18">
                  <c:v>12</c:v>
                </c:pt>
                <c:pt idx="19">
                  <c:v>1</c:v>
                </c:pt>
                <c:pt idx="20">
                  <c:v>16</c:v>
                </c:pt>
                <c:pt idx="22">
                  <c:v>14</c:v>
                </c:pt>
                <c:pt idx="23">
                  <c:v>55</c:v>
                </c:pt>
                <c:pt idx="25">
                  <c:v>24</c:v>
                </c:pt>
                <c:pt idx="26">
                  <c:v>5</c:v>
                </c:pt>
                <c:pt idx="28">
                  <c:v>32</c:v>
                </c:pt>
                <c:pt idx="29">
                  <c:v>20</c:v>
                </c:pt>
                <c:pt idx="30">
                  <c:v>5</c:v>
                </c:pt>
                <c:pt idx="31">
                  <c:v>20</c:v>
                </c:pt>
                <c:pt idx="32">
                  <c:v>13</c:v>
                </c:pt>
                <c:pt idx="33">
                  <c:v>9</c:v>
                </c:pt>
                <c:pt idx="37">
                  <c:v>39</c:v>
                </c:pt>
                <c:pt idx="38">
                  <c:v>12</c:v>
                </c:pt>
                <c:pt idx="39">
                  <c:v>6</c:v>
                </c:pt>
                <c:pt idx="40">
                  <c:v>49</c:v>
                </c:pt>
                <c:pt idx="42">
                  <c:v>7</c:v>
                </c:pt>
                <c:pt idx="43">
                  <c:v>2</c:v>
                </c:pt>
                <c:pt idx="44">
                  <c:v>2</c:v>
                </c:pt>
                <c:pt idx="47">
                  <c:v>2</c:v>
                </c:pt>
                <c:pt idx="48">
                  <c:v>5</c:v>
                </c:pt>
                <c:pt idx="49">
                  <c:v>1</c:v>
                </c:pt>
                <c:pt idx="52">
                  <c:v>36</c:v>
                </c:pt>
                <c:pt idx="56">
                  <c:v>6</c:v>
                </c:pt>
                <c:pt idx="59">
                  <c:v>5</c:v>
                </c:pt>
                <c:pt idx="60">
                  <c:v>6</c:v>
                </c:pt>
                <c:pt idx="61">
                  <c:v>5</c:v>
                </c:pt>
                <c:pt idx="62">
                  <c:v>6</c:v>
                </c:pt>
                <c:pt idx="64">
                  <c:v>17</c:v>
                </c:pt>
                <c:pt idx="66">
                  <c:v>1</c:v>
                </c:pt>
                <c:pt idx="67">
                  <c:v>2</c:v>
                </c:pt>
                <c:pt idx="68">
                  <c:v>7</c:v>
                </c:pt>
                <c:pt idx="69">
                  <c:v>6</c:v>
                </c:pt>
                <c:pt idx="72">
                  <c:v>12</c:v>
                </c:pt>
                <c:pt idx="73">
                  <c:v>14</c:v>
                </c:pt>
                <c:pt idx="75">
                  <c:v>9</c:v>
                </c:pt>
                <c:pt idx="79">
                  <c:v>3</c:v>
                </c:pt>
                <c:pt idx="80">
                  <c:v>44</c:v>
                </c:pt>
                <c:pt idx="81">
                  <c:v>1</c:v>
                </c:pt>
                <c:pt idx="87">
                  <c:v>69</c:v>
                </c:pt>
                <c:pt idx="88">
                  <c:v>1</c:v>
                </c:pt>
                <c:pt idx="95">
                  <c:v>7</c:v>
                </c:pt>
                <c:pt idx="97">
                  <c:v>1</c:v>
                </c:pt>
                <c:pt idx="100">
                  <c:v>2</c:v>
                </c:pt>
                <c:pt idx="101">
                  <c:v>15</c:v>
                </c:pt>
                <c:pt idx="102">
                  <c:v>9</c:v>
                </c:pt>
                <c:pt idx="103">
                  <c:v>2</c:v>
                </c:pt>
                <c:pt idx="104">
                  <c:v>13</c:v>
                </c:pt>
                <c:pt idx="105">
                  <c:v>7</c:v>
                </c:pt>
                <c:pt idx="106">
                  <c:v>10</c:v>
                </c:pt>
                <c:pt idx="107">
                  <c:v>13</c:v>
                </c:pt>
                <c:pt idx="108">
                  <c:v>5</c:v>
                </c:pt>
              </c:numCache>
            </c:numRef>
          </c:yVal>
          <c:smooth val="0"/>
          <c:extLst>
            <c:ext xmlns:c16="http://schemas.microsoft.com/office/drawing/2014/chart" uri="{C3380CC4-5D6E-409C-BE32-E72D297353CC}">
              <c16:uniqueId val="{00000000-9741-4E69-9100-6AC98394C8A9}"/>
            </c:ext>
          </c:extLst>
        </c:ser>
        <c:dLbls>
          <c:showLegendKey val="0"/>
          <c:showVal val="0"/>
          <c:showCatName val="0"/>
          <c:showSerName val="0"/>
          <c:showPercent val="0"/>
          <c:showBubbleSize val="0"/>
        </c:dLbls>
        <c:axId val="497425536"/>
        <c:axId val="601960144"/>
      </c:scatterChart>
      <c:valAx>
        <c:axId val="497425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1960144"/>
        <c:crosses val="autoZero"/>
        <c:crossBetween val="midCat"/>
      </c:valAx>
      <c:valAx>
        <c:axId val="601960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25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Ratings</a:t>
            </a:r>
            <a:r>
              <a:rPr lang="pt-BR" b="1" baseline="0">
                <a:solidFill>
                  <a:sysClr val="windowText" lastClr="000000"/>
                </a:solidFill>
              </a:rPr>
              <a:t> vs Reviews</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Cleaned_Data!$I$1:$I$12</c:f>
              <c:strCache>
                <c:ptCount val="12"/>
                <c:pt idx="0">
                  <c:v>Rating</c:v>
                </c:pt>
              </c:strCache>
            </c:strRef>
          </c:tx>
          <c:spPr>
            <a:ln w="38100" cap="rnd">
              <a:noFill/>
              <a:round/>
            </a:ln>
            <a:effectLst/>
          </c:spPr>
          <c:marker>
            <c:symbol val="circle"/>
            <c:size val="5"/>
            <c:spPr>
              <a:solidFill>
                <a:schemeClr val="accent2"/>
              </a:solidFill>
              <a:ln w="9525">
                <a:solidFill>
                  <a:schemeClr val="accent2"/>
                </a:solidFill>
              </a:ln>
              <a:effectLst/>
            </c:spPr>
          </c:marker>
          <c:xVal>
            <c:numRef>
              <c:f>Cleaned_Data!$H$13:$H$118</c:f>
              <c:numCache>
                <c:formatCode>0</c:formatCode>
                <c:ptCount val="106"/>
                <c:pt idx="0">
                  <c:v>15</c:v>
                </c:pt>
                <c:pt idx="2">
                  <c:v>6</c:v>
                </c:pt>
                <c:pt idx="5">
                  <c:v>12</c:v>
                </c:pt>
                <c:pt idx="6">
                  <c:v>5</c:v>
                </c:pt>
                <c:pt idx="7">
                  <c:v>12</c:v>
                </c:pt>
                <c:pt idx="8">
                  <c:v>1</c:v>
                </c:pt>
                <c:pt idx="9">
                  <c:v>16</c:v>
                </c:pt>
                <c:pt idx="11">
                  <c:v>14</c:v>
                </c:pt>
                <c:pt idx="12">
                  <c:v>55</c:v>
                </c:pt>
                <c:pt idx="14">
                  <c:v>24</c:v>
                </c:pt>
                <c:pt idx="15">
                  <c:v>5</c:v>
                </c:pt>
                <c:pt idx="17">
                  <c:v>32</c:v>
                </c:pt>
                <c:pt idx="18">
                  <c:v>20</c:v>
                </c:pt>
                <c:pt idx="19">
                  <c:v>5</c:v>
                </c:pt>
                <c:pt idx="20">
                  <c:v>20</c:v>
                </c:pt>
                <c:pt idx="21">
                  <c:v>13</c:v>
                </c:pt>
                <c:pt idx="22">
                  <c:v>9</c:v>
                </c:pt>
                <c:pt idx="26">
                  <c:v>39</c:v>
                </c:pt>
                <c:pt idx="27">
                  <c:v>12</c:v>
                </c:pt>
                <c:pt idx="28">
                  <c:v>6</c:v>
                </c:pt>
                <c:pt idx="29">
                  <c:v>49</c:v>
                </c:pt>
                <c:pt idx="31">
                  <c:v>7</c:v>
                </c:pt>
                <c:pt idx="32">
                  <c:v>2</c:v>
                </c:pt>
                <c:pt idx="33">
                  <c:v>2</c:v>
                </c:pt>
                <c:pt idx="36">
                  <c:v>2</c:v>
                </c:pt>
                <c:pt idx="37">
                  <c:v>5</c:v>
                </c:pt>
                <c:pt idx="38">
                  <c:v>1</c:v>
                </c:pt>
                <c:pt idx="41">
                  <c:v>36</c:v>
                </c:pt>
                <c:pt idx="45">
                  <c:v>6</c:v>
                </c:pt>
                <c:pt idx="48">
                  <c:v>5</c:v>
                </c:pt>
                <c:pt idx="49">
                  <c:v>6</c:v>
                </c:pt>
                <c:pt idx="50">
                  <c:v>5</c:v>
                </c:pt>
                <c:pt idx="51">
                  <c:v>6</c:v>
                </c:pt>
                <c:pt idx="53">
                  <c:v>17</c:v>
                </c:pt>
                <c:pt idx="55">
                  <c:v>1</c:v>
                </c:pt>
                <c:pt idx="56">
                  <c:v>2</c:v>
                </c:pt>
                <c:pt idx="57">
                  <c:v>7</c:v>
                </c:pt>
                <c:pt idx="58">
                  <c:v>6</c:v>
                </c:pt>
                <c:pt idx="61">
                  <c:v>12</c:v>
                </c:pt>
                <c:pt idx="62">
                  <c:v>14</c:v>
                </c:pt>
                <c:pt idx="64">
                  <c:v>9</c:v>
                </c:pt>
                <c:pt idx="68">
                  <c:v>3</c:v>
                </c:pt>
                <c:pt idx="69">
                  <c:v>44</c:v>
                </c:pt>
                <c:pt idx="70">
                  <c:v>1</c:v>
                </c:pt>
                <c:pt idx="76">
                  <c:v>69</c:v>
                </c:pt>
                <c:pt idx="77">
                  <c:v>1</c:v>
                </c:pt>
                <c:pt idx="84">
                  <c:v>7</c:v>
                </c:pt>
                <c:pt idx="86">
                  <c:v>1</c:v>
                </c:pt>
                <c:pt idx="89">
                  <c:v>2</c:v>
                </c:pt>
                <c:pt idx="90">
                  <c:v>15</c:v>
                </c:pt>
                <c:pt idx="91">
                  <c:v>9</c:v>
                </c:pt>
                <c:pt idx="92">
                  <c:v>2</c:v>
                </c:pt>
                <c:pt idx="93">
                  <c:v>13</c:v>
                </c:pt>
                <c:pt idx="94">
                  <c:v>7</c:v>
                </c:pt>
                <c:pt idx="95">
                  <c:v>10</c:v>
                </c:pt>
                <c:pt idx="96">
                  <c:v>13</c:v>
                </c:pt>
                <c:pt idx="97">
                  <c:v>5</c:v>
                </c:pt>
              </c:numCache>
            </c:numRef>
          </c:xVal>
          <c:yVal>
            <c:numRef>
              <c:f>Cleaned_Data!$I$13:$I$118</c:f>
              <c:numCache>
                <c:formatCode>0.0</c:formatCode>
                <c:ptCount val="106"/>
                <c:pt idx="0">
                  <c:v>4</c:v>
                </c:pt>
                <c:pt idx="1">
                  <c:v>0</c:v>
                </c:pt>
                <c:pt idx="2">
                  <c:v>2.5</c:v>
                </c:pt>
                <c:pt idx="3">
                  <c:v>0</c:v>
                </c:pt>
                <c:pt idx="4">
                  <c:v>0</c:v>
                </c:pt>
                <c:pt idx="5">
                  <c:v>3.8</c:v>
                </c:pt>
                <c:pt idx="6">
                  <c:v>4.5999999999999996</c:v>
                </c:pt>
                <c:pt idx="7">
                  <c:v>4.0999999999999996</c:v>
                </c:pt>
                <c:pt idx="8">
                  <c:v>5</c:v>
                </c:pt>
                <c:pt idx="9">
                  <c:v>2.9</c:v>
                </c:pt>
                <c:pt idx="10">
                  <c:v>0</c:v>
                </c:pt>
                <c:pt idx="11">
                  <c:v>4.4000000000000004</c:v>
                </c:pt>
                <c:pt idx="12">
                  <c:v>4.5999999999999996</c:v>
                </c:pt>
                <c:pt idx="13">
                  <c:v>0</c:v>
                </c:pt>
                <c:pt idx="14">
                  <c:v>4.5999999999999996</c:v>
                </c:pt>
                <c:pt idx="15">
                  <c:v>4.8</c:v>
                </c:pt>
                <c:pt idx="16">
                  <c:v>0</c:v>
                </c:pt>
                <c:pt idx="17">
                  <c:v>4.5</c:v>
                </c:pt>
                <c:pt idx="18">
                  <c:v>4.7</c:v>
                </c:pt>
                <c:pt idx="19">
                  <c:v>3</c:v>
                </c:pt>
                <c:pt idx="20">
                  <c:v>4.0999999999999996</c:v>
                </c:pt>
                <c:pt idx="21">
                  <c:v>3.8</c:v>
                </c:pt>
                <c:pt idx="22">
                  <c:v>4.2</c:v>
                </c:pt>
                <c:pt idx="23">
                  <c:v>0</c:v>
                </c:pt>
                <c:pt idx="24">
                  <c:v>0</c:v>
                </c:pt>
                <c:pt idx="25">
                  <c:v>0</c:v>
                </c:pt>
                <c:pt idx="26">
                  <c:v>4.7</c:v>
                </c:pt>
                <c:pt idx="27">
                  <c:v>4.7</c:v>
                </c:pt>
                <c:pt idx="28">
                  <c:v>4</c:v>
                </c:pt>
                <c:pt idx="29">
                  <c:v>4.5999999999999996</c:v>
                </c:pt>
                <c:pt idx="30">
                  <c:v>0</c:v>
                </c:pt>
                <c:pt idx="31">
                  <c:v>4.7</c:v>
                </c:pt>
                <c:pt idx="32">
                  <c:v>4</c:v>
                </c:pt>
                <c:pt idx="33">
                  <c:v>4.5</c:v>
                </c:pt>
                <c:pt idx="34">
                  <c:v>0</c:v>
                </c:pt>
                <c:pt idx="35">
                  <c:v>0</c:v>
                </c:pt>
                <c:pt idx="36">
                  <c:v>4.5</c:v>
                </c:pt>
                <c:pt idx="37">
                  <c:v>3</c:v>
                </c:pt>
                <c:pt idx="38">
                  <c:v>5</c:v>
                </c:pt>
                <c:pt idx="39">
                  <c:v>0</c:v>
                </c:pt>
                <c:pt idx="40">
                  <c:v>0</c:v>
                </c:pt>
                <c:pt idx="41">
                  <c:v>4.3</c:v>
                </c:pt>
                <c:pt idx="42">
                  <c:v>0</c:v>
                </c:pt>
                <c:pt idx="43">
                  <c:v>0</c:v>
                </c:pt>
                <c:pt idx="44">
                  <c:v>0</c:v>
                </c:pt>
                <c:pt idx="45">
                  <c:v>4.5</c:v>
                </c:pt>
                <c:pt idx="46">
                  <c:v>0</c:v>
                </c:pt>
                <c:pt idx="47">
                  <c:v>0</c:v>
                </c:pt>
                <c:pt idx="48">
                  <c:v>3</c:v>
                </c:pt>
                <c:pt idx="49">
                  <c:v>2.2999999999999998</c:v>
                </c:pt>
                <c:pt idx="50">
                  <c:v>3.8</c:v>
                </c:pt>
                <c:pt idx="51">
                  <c:v>2.2000000000000002</c:v>
                </c:pt>
                <c:pt idx="52">
                  <c:v>0</c:v>
                </c:pt>
                <c:pt idx="53">
                  <c:v>2.6</c:v>
                </c:pt>
                <c:pt idx="54">
                  <c:v>0</c:v>
                </c:pt>
                <c:pt idx="55">
                  <c:v>3</c:v>
                </c:pt>
                <c:pt idx="56">
                  <c:v>5</c:v>
                </c:pt>
                <c:pt idx="57">
                  <c:v>2.1</c:v>
                </c:pt>
                <c:pt idx="58">
                  <c:v>2.2000000000000002</c:v>
                </c:pt>
                <c:pt idx="59">
                  <c:v>0</c:v>
                </c:pt>
                <c:pt idx="60">
                  <c:v>0</c:v>
                </c:pt>
                <c:pt idx="61">
                  <c:v>4.8</c:v>
                </c:pt>
                <c:pt idx="62">
                  <c:v>4.0999999999999996</c:v>
                </c:pt>
                <c:pt idx="63">
                  <c:v>0</c:v>
                </c:pt>
                <c:pt idx="64">
                  <c:v>4.3</c:v>
                </c:pt>
                <c:pt idx="65">
                  <c:v>0</c:v>
                </c:pt>
                <c:pt idx="66">
                  <c:v>0</c:v>
                </c:pt>
                <c:pt idx="67">
                  <c:v>0</c:v>
                </c:pt>
                <c:pt idx="68">
                  <c:v>5</c:v>
                </c:pt>
                <c:pt idx="69">
                  <c:v>4.5999999999999996</c:v>
                </c:pt>
                <c:pt idx="70">
                  <c:v>5</c:v>
                </c:pt>
                <c:pt idx="71">
                  <c:v>0</c:v>
                </c:pt>
                <c:pt idx="72">
                  <c:v>0</c:v>
                </c:pt>
                <c:pt idx="73">
                  <c:v>0</c:v>
                </c:pt>
                <c:pt idx="74">
                  <c:v>0</c:v>
                </c:pt>
                <c:pt idx="75">
                  <c:v>0</c:v>
                </c:pt>
                <c:pt idx="76">
                  <c:v>2.8</c:v>
                </c:pt>
                <c:pt idx="77">
                  <c:v>4</c:v>
                </c:pt>
                <c:pt idx="78">
                  <c:v>0</c:v>
                </c:pt>
                <c:pt idx="79">
                  <c:v>0</c:v>
                </c:pt>
                <c:pt idx="80">
                  <c:v>0</c:v>
                </c:pt>
                <c:pt idx="81">
                  <c:v>0</c:v>
                </c:pt>
                <c:pt idx="82">
                  <c:v>0</c:v>
                </c:pt>
                <c:pt idx="83">
                  <c:v>0</c:v>
                </c:pt>
                <c:pt idx="84">
                  <c:v>2.2999999999999998</c:v>
                </c:pt>
                <c:pt idx="85">
                  <c:v>0</c:v>
                </c:pt>
                <c:pt idx="86">
                  <c:v>2</c:v>
                </c:pt>
                <c:pt idx="87">
                  <c:v>0</c:v>
                </c:pt>
                <c:pt idx="88">
                  <c:v>0</c:v>
                </c:pt>
                <c:pt idx="89">
                  <c:v>5</c:v>
                </c:pt>
                <c:pt idx="90">
                  <c:v>2.7</c:v>
                </c:pt>
                <c:pt idx="91">
                  <c:v>4.3</c:v>
                </c:pt>
                <c:pt idx="92">
                  <c:v>5</c:v>
                </c:pt>
                <c:pt idx="93">
                  <c:v>3.3</c:v>
                </c:pt>
                <c:pt idx="94">
                  <c:v>4.3</c:v>
                </c:pt>
                <c:pt idx="95">
                  <c:v>3</c:v>
                </c:pt>
                <c:pt idx="96">
                  <c:v>2.1</c:v>
                </c:pt>
                <c:pt idx="97">
                  <c:v>4.8</c:v>
                </c:pt>
                <c:pt idx="98">
                  <c:v>0</c:v>
                </c:pt>
                <c:pt idx="99">
                  <c:v>0</c:v>
                </c:pt>
                <c:pt idx="100">
                  <c:v>0</c:v>
                </c:pt>
              </c:numCache>
            </c:numRef>
          </c:yVal>
          <c:smooth val="0"/>
          <c:extLst>
            <c:ext xmlns:c16="http://schemas.microsoft.com/office/drawing/2014/chart" uri="{C3380CC4-5D6E-409C-BE32-E72D297353CC}">
              <c16:uniqueId val="{00000000-8BCE-43AA-8860-9294E4B98686}"/>
            </c:ext>
          </c:extLst>
        </c:ser>
        <c:dLbls>
          <c:showLegendKey val="0"/>
          <c:showVal val="0"/>
          <c:showCatName val="0"/>
          <c:showSerName val="0"/>
          <c:showPercent val="0"/>
          <c:showBubbleSize val="0"/>
        </c:dLbls>
        <c:axId val="497442240"/>
        <c:axId val="2066347248"/>
      </c:scatterChart>
      <c:valAx>
        <c:axId val="4974422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6347248"/>
        <c:crosses val="autoZero"/>
        <c:crossBetween val="midCat"/>
      </c:valAx>
      <c:valAx>
        <c:axId val="2066347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7442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ysClr val="windowText" lastClr="000000"/>
                </a:solidFill>
              </a:rPr>
              <a:t>Current</a:t>
            </a:r>
            <a:r>
              <a:rPr lang="pt-BR" b="1" baseline="0">
                <a:solidFill>
                  <a:sysClr val="windowText" lastClr="000000"/>
                </a:solidFill>
              </a:rPr>
              <a:t> Price vs Ratings</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Cleaned_Data!$I$1:$I$12</c:f>
              <c:strCache>
                <c:ptCount val="12"/>
                <c:pt idx="0">
                  <c:v>Rating</c:v>
                </c:pt>
              </c:strCache>
            </c:strRef>
          </c:tx>
          <c:spPr>
            <a:ln w="38100" cap="rnd">
              <a:noFill/>
              <a:round/>
            </a:ln>
            <a:effectLst/>
          </c:spPr>
          <c:marker>
            <c:symbol val="circle"/>
            <c:size val="5"/>
            <c:spPr>
              <a:solidFill>
                <a:schemeClr val="accent2"/>
              </a:solidFill>
              <a:ln w="9525">
                <a:solidFill>
                  <a:schemeClr val="accent2"/>
                </a:solidFill>
              </a:ln>
              <a:effectLst/>
            </c:spPr>
          </c:marker>
          <c:xVal>
            <c:numRef>
              <c:f>Cleaned_Data!$B$13:$B$118</c:f>
              <c:numCache>
                <c:formatCode>"Ksh"#,##0.00</c:formatCode>
                <c:ptCount val="106"/>
                <c:pt idx="0">
                  <c:v>2999</c:v>
                </c:pt>
                <c:pt idx="1">
                  <c:v>525</c:v>
                </c:pt>
                <c:pt idx="2">
                  <c:v>2170</c:v>
                </c:pt>
                <c:pt idx="3">
                  <c:v>475</c:v>
                </c:pt>
                <c:pt idx="4">
                  <c:v>274</c:v>
                </c:pt>
                <c:pt idx="5">
                  <c:v>2880</c:v>
                </c:pt>
                <c:pt idx="6">
                  <c:v>2999</c:v>
                </c:pt>
                <c:pt idx="7">
                  <c:v>799</c:v>
                </c:pt>
                <c:pt idx="8">
                  <c:v>3640</c:v>
                </c:pt>
                <c:pt idx="9">
                  <c:v>1220</c:v>
                </c:pt>
                <c:pt idx="10">
                  <c:v>248</c:v>
                </c:pt>
                <c:pt idx="11">
                  <c:v>1650</c:v>
                </c:pt>
                <c:pt idx="12">
                  <c:v>2319</c:v>
                </c:pt>
                <c:pt idx="13">
                  <c:v>230</c:v>
                </c:pt>
                <c:pt idx="14">
                  <c:v>2199</c:v>
                </c:pt>
                <c:pt idx="15">
                  <c:v>1740</c:v>
                </c:pt>
                <c:pt idx="16">
                  <c:v>176</c:v>
                </c:pt>
                <c:pt idx="17">
                  <c:v>1980</c:v>
                </c:pt>
                <c:pt idx="18">
                  <c:v>1940</c:v>
                </c:pt>
                <c:pt idx="19">
                  <c:v>2300</c:v>
                </c:pt>
                <c:pt idx="20">
                  <c:v>1758</c:v>
                </c:pt>
                <c:pt idx="21">
                  <c:v>1350</c:v>
                </c:pt>
                <c:pt idx="22">
                  <c:v>1680</c:v>
                </c:pt>
                <c:pt idx="23">
                  <c:v>1300</c:v>
                </c:pt>
                <c:pt idx="24">
                  <c:v>699</c:v>
                </c:pt>
                <c:pt idx="25">
                  <c:v>105</c:v>
                </c:pt>
                <c:pt idx="26">
                  <c:v>990</c:v>
                </c:pt>
                <c:pt idx="27">
                  <c:v>980</c:v>
                </c:pt>
                <c:pt idx="28">
                  <c:v>880</c:v>
                </c:pt>
                <c:pt idx="29">
                  <c:v>420</c:v>
                </c:pt>
                <c:pt idx="30">
                  <c:v>899</c:v>
                </c:pt>
                <c:pt idx="31">
                  <c:v>1580</c:v>
                </c:pt>
                <c:pt idx="32">
                  <c:v>988</c:v>
                </c:pt>
                <c:pt idx="33">
                  <c:v>1800</c:v>
                </c:pt>
                <c:pt idx="34">
                  <c:v>790</c:v>
                </c:pt>
                <c:pt idx="35">
                  <c:v>169</c:v>
                </c:pt>
                <c:pt idx="36">
                  <c:v>950</c:v>
                </c:pt>
                <c:pt idx="37">
                  <c:v>3750</c:v>
                </c:pt>
                <c:pt idx="38">
                  <c:v>1620</c:v>
                </c:pt>
                <c:pt idx="39">
                  <c:v>2200</c:v>
                </c:pt>
                <c:pt idx="40">
                  <c:v>499</c:v>
                </c:pt>
                <c:pt idx="41">
                  <c:v>389</c:v>
                </c:pt>
                <c:pt idx="42">
                  <c:v>690</c:v>
                </c:pt>
                <c:pt idx="43">
                  <c:v>630</c:v>
                </c:pt>
                <c:pt idx="44">
                  <c:v>1860</c:v>
                </c:pt>
                <c:pt idx="45">
                  <c:v>501</c:v>
                </c:pt>
                <c:pt idx="46">
                  <c:v>1080</c:v>
                </c:pt>
                <c:pt idx="47">
                  <c:v>610</c:v>
                </c:pt>
                <c:pt idx="48">
                  <c:v>509</c:v>
                </c:pt>
                <c:pt idx="49">
                  <c:v>345</c:v>
                </c:pt>
                <c:pt idx="50">
                  <c:v>1600</c:v>
                </c:pt>
                <c:pt idx="51">
                  <c:v>990</c:v>
                </c:pt>
                <c:pt idx="52">
                  <c:v>1420</c:v>
                </c:pt>
                <c:pt idx="53">
                  <c:v>382</c:v>
                </c:pt>
                <c:pt idx="54">
                  <c:v>799</c:v>
                </c:pt>
                <c:pt idx="55">
                  <c:v>1189</c:v>
                </c:pt>
                <c:pt idx="56">
                  <c:v>195</c:v>
                </c:pt>
                <c:pt idx="57">
                  <c:v>1570</c:v>
                </c:pt>
                <c:pt idx="58">
                  <c:v>968</c:v>
                </c:pt>
                <c:pt idx="59">
                  <c:v>2750</c:v>
                </c:pt>
                <c:pt idx="60">
                  <c:v>1200</c:v>
                </c:pt>
                <c:pt idx="61">
                  <c:v>552</c:v>
                </c:pt>
                <c:pt idx="62">
                  <c:v>527</c:v>
                </c:pt>
                <c:pt idx="63">
                  <c:v>1460</c:v>
                </c:pt>
                <c:pt idx="64">
                  <c:v>1820</c:v>
                </c:pt>
                <c:pt idx="65">
                  <c:v>1190</c:v>
                </c:pt>
                <c:pt idx="66">
                  <c:v>1150</c:v>
                </c:pt>
                <c:pt idx="67">
                  <c:v>1190</c:v>
                </c:pt>
                <c:pt idx="68">
                  <c:v>2025</c:v>
                </c:pt>
                <c:pt idx="69">
                  <c:v>998</c:v>
                </c:pt>
                <c:pt idx="70">
                  <c:v>979</c:v>
                </c:pt>
                <c:pt idx="71">
                  <c:v>2799</c:v>
                </c:pt>
                <c:pt idx="72">
                  <c:v>198</c:v>
                </c:pt>
                <c:pt idx="73">
                  <c:v>299</c:v>
                </c:pt>
                <c:pt idx="74">
                  <c:v>1466</c:v>
                </c:pt>
                <c:pt idx="75">
                  <c:v>1468</c:v>
                </c:pt>
                <c:pt idx="76">
                  <c:v>445</c:v>
                </c:pt>
                <c:pt idx="77">
                  <c:v>330</c:v>
                </c:pt>
                <c:pt idx="78">
                  <c:v>799</c:v>
                </c:pt>
                <c:pt idx="79">
                  <c:v>1526</c:v>
                </c:pt>
                <c:pt idx="80">
                  <c:v>3546</c:v>
                </c:pt>
                <c:pt idx="81">
                  <c:v>1732</c:v>
                </c:pt>
                <c:pt idx="82">
                  <c:v>1459</c:v>
                </c:pt>
                <c:pt idx="83">
                  <c:v>1658</c:v>
                </c:pt>
                <c:pt idx="84">
                  <c:v>1000</c:v>
                </c:pt>
                <c:pt idx="85">
                  <c:v>1660</c:v>
                </c:pt>
                <c:pt idx="86">
                  <c:v>450</c:v>
                </c:pt>
                <c:pt idx="87">
                  <c:v>2132</c:v>
                </c:pt>
                <c:pt idx="88">
                  <c:v>1462</c:v>
                </c:pt>
                <c:pt idx="89">
                  <c:v>332</c:v>
                </c:pt>
                <c:pt idx="90">
                  <c:v>325</c:v>
                </c:pt>
                <c:pt idx="91">
                  <c:v>185</c:v>
                </c:pt>
                <c:pt idx="92">
                  <c:v>171</c:v>
                </c:pt>
                <c:pt idx="93">
                  <c:v>38</c:v>
                </c:pt>
                <c:pt idx="94">
                  <c:v>2048</c:v>
                </c:pt>
                <c:pt idx="95">
                  <c:v>458</c:v>
                </c:pt>
                <c:pt idx="96">
                  <c:v>2115</c:v>
                </c:pt>
                <c:pt idx="97">
                  <c:v>1274</c:v>
                </c:pt>
                <c:pt idx="98">
                  <c:v>1666</c:v>
                </c:pt>
                <c:pt idx="99">
                  <c:v>1768</c:v>
                </c:pt>
                <c:pt idx="100">
                  <c:v>1875</c:v>
                </c:pt>
                <c:pt idx="102">
                  <c:v>3750</c:v>
                </c:pt>
                <c:pt idx="103">
                  <c:v>38</c:v>
                </c:pt>
                <c:pt idx="104">
                  <c:v>1186.8928571428571</c:v>
                </c:pt>
                <c:pt idx="105">
                  <c:v>998.5</c:v>
                </c:pt>
              </c:numCache>
            </c:numRef>
          </c:xVal>
          <c:yVal>
            <c:numRef>
              <c:f>Cleaned_Data!$I$13:$I$118</c:f>
              <c:numCache>
                <c:formatCode>0.0</c:formatCode>
                <c:ptCount val="106"/>
                <c:pt idx="0">
                  <c:v>4</c:v>
                </c:pt>
                <c:pt idx="1">
                  <c:v>0</c:v>
                </c:pt>
                <c:pt idx="2">
                  <c:v>2.5</c:v>
                </c:pt>
                <c:pt idx="3">
                  <c:v>0</c:v>
                </c:pt>
                <c:pt idx="4">
                  <c:v>0</c:v>
                </c:pt>
                <c:pt idx="5">
                  <c:v>3.8</c:v>
                </c:pt>
                <c:pt idx="6">
                  <c:v>4.5999999999999996</c:v>
                </c:pt>
                <c:pt idx="7">
                  <c:v>4.0999999999999996</c:v>
                </c:pt>
                <c:pt idx="8">
                  <c:v>5</c:v>
                </c:pt>
                <c:pt idx="9">
                  <c:v>2.9</c:v>
                </c:pt>
                <c:pt idx="10">
                  <c:v>0</c:v>
                </c:pt>
                <c:pt idx="11">
                  <c:v>4.4000000000000004</c:v>
                </c:pt>
                <c:pt idx="12">
                  <c:v>4.5999999999999996</c:v>
                </c:pt>
                <c:pt idx="13">
                  <c:v>0</c:v>
                </c:pt>
                <c:pt idx="14">
                  <c:v>4.5999999999999996</c:v>
                </c:pt>
                <c:pt idx="15">
                  <c:v>4.8</c:v>
                </c:pt>
                <c:pt idx="16">
                  <c:v>0</c:v>
                </c:pt>
                <c:pt idx="17">
                  <c:v>4.5</c:v>
                </c:pt>
                <c:pt idx="18">
                  <c:v>4.7</c:v>
                </c:pt>
                <c:pt idx="19">
                  <c:v>3</c:v>
                </c:pt>
                <c:pt idx="20">
                  <c:v>4.0999999999999996</c:v>
                </c:pt>
                <c:pt idx="21">
                  <c:v>3.8</c:v>
                </c:pt>
                <c:pt idx="22">
                  <c:v>4.2</c:v>
                </c:pt>
                <c:pt idx="23">
                  <c:v>0</c:v>
                </c:pt>
                <c:pt idx="24">
                  <c:v>0</c:v>
                </c:pt>
                <c:pt idx="25">
                  <c:v>0</c:v>
                </c:pt>
                <c:pt idx="26">
                  <c:v>4.7</c:v>
                </c:pt>
                <c:pt idx="27">
                  <c:v>4.7</c:v>
                </c:pt>
                <c:pt idx="28">
                  <c:v>4</c:v>
                </c:pt>
                <c:pt idx="29">
                  <c:v>4.5999999999999996</c:v>
                </c:pt>
                <c:pt idx="30">
                  <c:v>0</c:v>
                </c:pt>
                <c:pt idx="31">
                  <c:v>4.7</c:v>
                </c:pt>
                <c:pt idx="32">
                  <c:v>4</c:v>
                </c:pt>
                <c:pt idx="33">
                  <c:v>4.5</c:v>
                </c:pt>
                <c:pt idx="34">
                  <c:v>0</c:v>
                </c:pt>
                <c:pt idx="35">
                  <c:v>0</c:v>
                </c:pt>
                <c:pt idx="36">
                  <c:v>4.5</c:v>
                </c:pt>
                <c:pt idx="37">
                  <c:v>3</c:v>
                </c:pt>
                <c:pt idx="38">
                  <c:v>5</c:v>
                </c:pt>
                <c:pt idx="39">
                  <c:v>0</c:v>
                </c:pt>
                <c:pt idx="40">
                  <c:v>0</c:v>
                </c:pt>
                <c:pt idx="41">
                  <c:v>4.3</c:v>
                </c:pt>
                <c:pt idx="42">
                  <c:v>0</c:v>
                </c:pt>
                <c:pt idx="43">
                  <c:v>0</c:v>
                </c:pt>
                <c:pt idx="44">
                  <c:v>0</c:v>
                </c:pt>
                <c:pt idx="45">
                  <c:v>4.5</c:v>
                </c:pt>
                <c:pt idx="46">
                  <c:v>0</c:v>
                </c:pt>
                <c:pt idx="47">
                  <c:v>0</c:v>
                </c:pt>
                <c:pt idx="48">
                  <c:v>3</c:v>
                </c:pt>
                <c:pt idx="49">
                  <c:v>2.2999999999999998</c:v>
                </c:pt>
                <c:pt idx="50">
                  <c:v>3.8</c:v>
                </c:pt>
                <c:pt idx="51">
                  <c:v>2.2000000000000002</c:v>
                </c:pt>
                <c:pt idx="52">
                  <c:v>0</c:v>
                </c:pt>
                <c:pt idx="53">
                  <c:v>2.6</c:v>
                </c:pt>
                <c:pt idx="54">
                  <c:v>0</c:v>
                </c:pt>
                <c:pt idx="55">
                  <c:v>3</c:v>
                </c:pt>
                <c:pt idx="56">
                  <c:v>5</c:v>
                </c:pt>
                <c:pt idx="57">
                  <c:v>2.1</c:v>
                </c:pt>
                <c:pt idx="58">
                  <c:v>2.2000000000000002</c:v>
                </c:pt>
                <c:pt idx="59">
                  <c:v>0</c:v>
                </c:pt>
                <c:pt idx="60">
                  <c:v>0</c:v>
                </c:pt>
                <c:pt idx="61">
                  <c:v>4.8</c:v>
                </c:pt>
                <c:pt idx="62">
                  <c:v>4.0999999999999996</c:v>
                </c:pt>
                <c:pt idx="63">
                  <c:v>0</c:v>
                </c:pt>
                <c:pt idx="64">
                  <c:v>4.3</c:v>
                </c:pt>
                <c:pt idx="65">
                  <c:v>0</c:v>
                </c:pt>
                <c:pt idx="66">
                  <c:v>0</c:v>
                </c:pt>
                <c:pt idx="67">
                  <c:v>0</c:v>
                </c:pt>
                <c:pt idx="68">
                  <c:v>5</c:v>
                </c:pt>
                <c:pt idx="69">
                  <c:v>4.5999999999999996</c:v>
                </c:pt>
                <c:pt idx="70">
                  <c:v>5</c:v>
                </c:pt>
                <c:pt idx="71">
                  <c:v>0</c:v>
                </c:pt>
                <c:pt idx="72">
                  <c:v>0</c:v>
                </c:pt>
                <c:pt idx="73">
                  <c:v>0</c:v>
                </c:pt>
                <c:pt idx="74">
                  <c:v>0</c:v>
                </c:pt>
                <c:pt idx="75">
                  <c:v>0</c:v>
                </c:pt>
                <c:pt idx="76">
                  <c:v>2.8</c:v>
                </c:pt>
                <c:pt idx="77">
                  <c:v>4</c:v>
                </c:pt>
                <c:pt idx="78">
                  <c:v>0</c:v>
                </c:pt>
                <c:pt idx="79">
                  <c:v>0</c:v>
                </c:pt>
                <c:pt idx="80">
                  <c:v>0</c:v>
                </c:pt>
                <c:pt idx="81">
                  <c:v>0</c:v>
                </c:pt>
                <c:pt idx="82">
                  <c:v>0</c:v>
                </c:pt>
                <c:pt idx="83">
                  <c:v>0</c:v>
                </c:pt>
                <c:pt idx="84">
                  <c:v>2.2999999999999998</c:v>
                </c:pt>
                <c:pt idx="85">
                  <c:v>0</c:v>
                </c:pt>
                <c:pt idx="86">
                  <c:v>2</c:v>
                </c:pt>
                <c:pt idx="87">
                  <c:v>0</c:v>
                </c:pt>
                <c:pt idx="88">
                  <c:v>0</c:v>
                </c:pt>
                <c:pt idx="89">
                  <c:v>5</c:v>
                </c:pt>
                <c:pt idx="90">
                  <c:v>2.7</c:v>
                </c:pt>
                <c:pt idx="91">
                  <c:v>4.3</c:v>
                </c:pt>
                <c:pt idx="92">
                  <c:v>5</c:v>
                </c:pt>
                <c:pt idx="93">
                  <c:v>3.3</c:v>
                </c:pt>
                <c:pt idx="94">
                  <c:v>4.3</c:v>
                </c:pt>
                <c:pt idx="95">
                  <c:v>3</c:v>
                </c:pt>
                <c:pt idx="96">
                  <c:v>2.1</c:v>
                </c:pt>
                <c:pt idx="97">
                  <c:v>4.8</c:v>
                </c:pt>
                <c:pt idx="98">
                  <c:v>0</c:v>
                </c:pt>
                <c:pt idx="99">
                  <c:v>0</c:v>
                </c:pt>
                <c:pt idx="100">
                  <c:v>0</c:v>
                </c:pt>
              </c:numCache>
            </c:numRef>
          </c:yVal>
          <c:smooth val="0"/>
          <c:extLst>
            <c:ext xmlns:c16="http://schemas.microsoft.com/office/drawing/2014/chart" uri="{C3380CC4-5D6E-409C-BE32-E72D297353CC}">
              <c16:uniqueId val="{00000000-DFF9-4B1A-8819-692AA8CB0B4D}"/>
            </c:ext>
          </c:extLst>
        </c:ser>
        <c:dLbls>
          <c:showLegendKey val="0"/>
          <c:showVal val="0"/>
          <c:showCatName val="0"/>
          <c:showSerName val="0"/>
          <c:showPercent val="0"/>
          <c:showBubbleSize val="0"/>
        </c:dLbls>
        <c:axId val="1384562591"/>
        <c:axId val="501790192"/>
      </c:scatterChart>
      <c:valAx>
        <c:axId val="1384562591"/>
        <c:scaling>
          <c:orientation val="minMax"/>
        </c:scaling>
        <c:delete val="0"/>
        <c:axPos val="b"/>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1790192"/>
        <c:crosses val="autoZero"/>
        <c:crossBetween val="midCat"/>
      </c:valAx>
      <c:valAx>
        <c:axId val="50179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84562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302418</xdr:colOff>
      <xdr:row>9</xdr:row>
      <xdr:rowOff>161925</xdr:rowOff>
    </xdr:from>
    <xdr:to>
      <xdr:col>5</xdr:col>
      <xdr:colOff>7143</xdr:colOff>
      <xdr:row>25</xdr:row>
      <xdr:rowOff>9525</xdr:rowOff>
    </xdr:to>
    <xdr:graphicFrame macro="">
      <xdr:nvGraphicFramePr>
        <xdr:cNvPr id="5" name="Chart 4">
          <a:extLst>
            <a:ext uri="{FF2B5EF4-FFF2-40B4-BE49-F238E27FC236}">
              <a16:creationId xmlns:a16="http://schemas.microsoft.com/office/drawing/2014/main" id="{DE731C72-0CEA-BAC1-BBB7-FF5CB555D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2695576</xdr:colOff>
      <xdr:row>33</xdr:row>
      <xdr:rowOff>5603</xdr:rowOff>
    </xdr:from>
    <xdr:to>
      <xdr:col>8</xdr:col>
      <xdr:colOff>4526897</xdr:colOff>
      <xdr:row>40</xdr:row>
      <xdr:rowOff>841</xdr:rowOff>
    </xdr:to>
    <mc:AlternateContent xmlns:mc="http://schemas.openxmlformats.org/markup-compatibility/2006">
      <mc:Choice xmlns:a14="http://schemas.microsoft.com/office/drawing/2010/main" Requires="a14">
        <xdr:graphicFrame macro="">
          <xdr:nvGraphicFramePr>
            <xdr:cNvPr id="2" name="Discount Category">
              <a:extLst>
                <a:ext uri="{FF2B5EF4-FFF2-40B4-BE49-F238E27FC236}">
                  <a16:creationId xmlns:a16="http://schemas.microsoft.com/office/drawing/2014/main" id="{300A2454-6A38-290A-7756-F4D2A5AC0C2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9419105" y="5922309"/>
              <a:ext cx="1831321" cy="125029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783712</xdr:colOff>
      <xdr:row>1</xdr:row>
      <xdr:rowOff>101413</xdr:rowOff>
    </xdr:from>
    <xdr:to>
      <xdr:col>8</xdr:col>
      <xdr:colOff>4695264</xdr:colOff>
      <xdr:row>15</xdr:row>
      <xdr:rowOff>151280</xdr:rowOff>
    </xdr:to>
    <xdr:graphicFrame macro="">
      <xdr:nvGraphicFramePr>
        <xdr:cNvPr id="4" name="Chart 3">
          <a:extLst>
            <a:ext uri="{FF2B5EF4-FFF2-40B4-BE49-F238E27FC236}">
              <a16:creationId xmlns:a16="http://schemas.microsoft.com/office/drawing/2014/main" id="{DE32AE52-EEF0-5383-5F53-7A475AEBC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960481</xdr:colOff>
      <xdr:row>1</xdr:row>
      <xdr:rowOff>77881</xdr:rowOff>
    </xdr:from>
    <xdr:to>
      <xdr:col>8</xdr:col>
      <xdr:colOff>313764</xdr:colOff>
      <xdr:row>15</xdr:row>
      <xdr:rowOff>128868</xdr:rowOff>
    </xdr:to>
    <xdr:graphicFrame macro="">
      <xdr:nvGraphicFramePr>
        <xdr:cNvPr id="5" name="Chart 4">
          <a:extLst>
            <a:ext uri="{FF2B5EF4-FFF2-40B4-BE49-F238E27FC236}">
              <a16:creationId xmlns:a16="http://schemas.microsoft.com/office/drawing/2014/main" id="{5D2724CA-3A56-AD4B-EE42-0EA968A52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163884</xdr:colOff>
      <xdr:row>33</xdr:row>
      <xdr:rowOff>69477</xdr:rowOff>
    </xdr:from>
    <xdr:to>
      <xdr:col>8</xdr:col>
      <xdr:colOff>1992684</xdr:colOff>
      <xdr:row>39</xdr:row>
      <xdr:rowOff>168088</xdr:rowOff>
    </xdr:to>
    <mc:AlternateContent xmlns:mc="http://schemas.openxmlformats.org/markup-compatibility/2006">
      <mc:Choice xmlns:a14="http://schemas.microsoft.com/office/drawing/2010/main" Requires="a14">
        <xdr:graphicFrame macro="">
          <xdr:nvGraphicFramePr>
            <xdr:cNvPr id="9" name="Price Category">
              <a:extLst>
                <a:ext uri="{FF2B5EF4-FFF2-40B4-BE49-F238E27FC236}">
                  <a16:creationId xmlns:a16="http://schemas.microsoft.com/office/drawing/2014/main" id="{FD500F37-504C-0B01-31BA-FCDEED14FAB6}"/>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6887413" y="5986183"/>
              <a:ext cx="1828800" cy="11743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988919</xdr:colOff>
      <xdr:row>16</xdr:row>
      <xdr:rowOff>71156</xdr:rowOff>
    </xdr:from>
    <xdr:to>
      <xdr:col>8</xdr:col>
      <xdr:colOff>470647</xdr:colOff>
      <xdr:row>31</xdr:row>
      <xdr:rowOff>124944</xdr:rowOff>
    </xdr:to>
    <xdr:graphicFrame macro="">
      <xdr:nvGraphicFramePr>
        <xdr:cNvPr id="10" name="Chart 9">
          <a:extLst>
            <a:ext uri="{FF2B5EF4-FFF2-40B4-BE49-F238E27FC236}">
              <a16:creationId xmlns:a16="http://schemas.microsoft.com/office/drawing/2014/main" id="{2CBA38AD-14EB-7B79-034D-76A099932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691962</xdr:colOff>
      <xdr:row>16</xdr:row>
      <xdr:rowOff>82362</xdr:rowOff>
    </xdr:from>
    <xdr:to>
      <xdr:col>8</xdr:col>
      <xdr:colOff>4751293</xdr:colOff>
      <xdr:row>31</xdr:row>
      <xdr:rowOff>136150</xdr:rowOff>
    </xdr:to>
    <xdr:graphicFrame macro="">
      <xdr:nvGraphicFramePr>
        <xdr:cNvPr id="11" name="Chart 10">
          <a:extLst>
            <a:ext uri="{FF2B5EF4-FFF2-40B4-BE49-F238E27FC236}">
              <a16:creationId xmlns:a16="http://schemas.microsoft.com/office/drawing/2014/main" id="{2F5BE15F-B51F-F598-A273-E56D87B90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488855</xdr:colOff>
      <xdr:row>32</xdr:row>
      <xdr:rowOff>107017</xdr:rowOff>
    </xdr:from>
    <xdr:to>
      <xdr:col>7</xdr:col>
      <xdr:colOff>367832</xdr:colOff>
      <xdr:row>41</xdr:row>
      <xdr:rowOff>16808</xdr:rowOff>
    </xdr:to>
    <mc:AlternateContent xmlns:mc="http://schemas.openxmlformats.org/markup-compatibility/2006">
      <mc:Choice xmlns:a14="http://schemas.microsoft.com/office/drawing/2010/main" Requires="a14">
        <xdr:graphicFrame macro="">
          <xdr:nvGraphicFramePr>
            <xdr:cNvPr id="12" name="Rating Category">
              <a:extLst>
                <a:ext uri="{FF2B5EF4-FFF2-40B4-BE49-F238E27FC236}">
                  <a16:creationId xmlns:a16="http://schemas.microsoft.com/office/drawing/2014/main" id="{19C2B81A-86D6-732E-C97D-859F70D2B42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4612620" y="5844429"/>
              <a:ext cx="1828800" cy="152343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53227</xdr:colOff>
      <xdr:row>8</xdr:row>
      <xdr:rowOff>3922</xdr:rowOff>
    </xdr:from>
    <xdr:to>
      <xdr:col>14</xdr:col>
      <xdr:colOff>28014</xdr:colOff>
      <xdr:row>23</xdr:row>
      <xdr:rowOff>57710</xdr:rowOff>
    </xdr:to>
    <xdr:graphicFrame macro="">
      <xdr:nvGraphicFramePr>
        <xdr:cNvPr id="13" name="Chart 12">
          <a:extLst>
            <a:ext uri="{FF2B5EF4-FFF2-40B4-BE49-F238E27FC236}">
              <a16:creationId xmlns:a16="http://schemas.microsoft.com/office/drawing/2014/main" id="{C3C5CC66-15E3-15FA-803A-C5B187448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330992</xdr:colOff>
      <xdr:row>0</xdr:row>
      <xdr:rowOff>147638</xdr:rowOff>
    </xdr:from>
    <xdr:to>
      <xdr:col>9</xdr:col>
      <xdr:colOff>133350</xdr:colOff>
      <xdr:row>13</xdr:row>
      <xdr:rowOff>85725</xdr:rowOff>
    </xdr:to>
    <xdr:graphicFrame macro="">
      <xdr:nvGraphicFramePr>
        <xdr:cNvPr id="2" name="Chart 1">
          <a:extLst>
            <a:ext uri="{FF2B5EF4-FFF2-40B4-BE49-F238E27FC236}">
              <a16:creationId xmlns:a16="http://schemas.microsoft.com/office/drawing/2014/main" id="{6C1A0F38-CEDB-BC8D-A60C-0571ECA1D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383379</xdr:colOff>
      <xdr:row>14</xdr:row>
      <xdr:rowOff>14288</xdr:rowOff>
    </xdr:from>
    <xdr:to>
      <xdr:col>9</xdr:col>
      <xdr:colOff>142874</xdr:colOff>
      <xdr:row>26</xdr:row>
      <xdr:rowOff>176212</xdr:rowOff>
    </xdr:to>
    <xdr:graphicFrame macro="">
      <xdr:nvGraphicFramePr>
        <xdr:cNvPr id="3" name="Chart 2">
          <a:extLst>
            <a:ext uri="{FF2B5EF4-FFF2-40B4-BE49-F238E27FC236}">
              <a16:creationId xmlns:a16="http://schemas.microsoft.com/office/drawing/2014/main" id="{0783DA28-96B6-CA1A-FE32-8CE6ECD3D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402430</xdr:colOff>
      <xdr:row>27</xdr:row>
      <xdr:rowOff>114300</xdr:rowOff>
    </xdr:from>
    <xdr:to>
      <xdr:col>9</xdr:col>
      <xdr:colOff>171450</xdr:colOff>
      <xdr:row>41</xdr:row>
      <xdr:rowOff>0</xdr:rowOff>
    </xdr:to>
    <xdr:graphicFrame macro="">
      <xdr:nvGraphicFramePr>
        <xdr:cNvPr id="4" name="Chart 3">
          <a:extLst>
            <a:ext uri="{FF2B5EF4-FFF2-40B4-BE49-F238E27FC236}">
              <a16:creationId xmlns:a16="http://schemas.microsoft.com/office/drawing/2014/main" id="{174DF4EA-17DA-FF1F-53B8-129078747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2</xdr:row>
      <xdr:rowOff>47625</xdr:rowOff>
    </xdr:from>
    <xdr:to>
      <xdr:col>9</xdr:col>
      <xdr:colOff>333375</xdr:colOff>
      <xdr:row>17</xdr:row>
      <xdr:rowOff>76200</xdr:rowOff>
    </xdr:to>
    <xdr:graphicFrame macro="">
      <xdr:nvGraphicFramePr>
        <xdr:cNvPr id="2" name="Chart 1">
          <a:extLst>
            <a:ext uri="{FF2B5EF4-FFF2-40B4-BE49-F238E27FC236}">
              <a16:creationId xmlns:a16="http://schemas.microsoft.com/office/drawing/2014/main" id="{073914A1-0053-4B5F-A566-281008E31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538163</xdr:colOff>
      <xdr:row>2</xdr:row>
      <xdr:rowOff>57150</xdr:rowOff>
    </xdr:from>
    <xdr:to>
      <xdr:col>18</xdr:col>
      <xdr:colOff>576263</xdr:colOff>
      <xdr:row>17</xdr:row>
      <xdr:rowOff>85725</xdr:rowOff>
    </xdr:to>
    <xdr:graphicFrame macro="">
      <xdr:nvGraphicFramePr>
        <xdr:cNvPr id="3" name="Chart 2">
          <a:extLst>
            <a:ext uri="{FF2B5EF4-FFF2-40B4-BE49-F238E27FC236}">
              <a16:creationId xmlns:a16="http://schemas.microsoft.com/office/drawing/2014/main" id="{C3D0883A-29A5-43E7-96FD-A7F09B335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19</xdr:row>
      <xdr:rowOff>0</xdr:rowOff>
    </xdr:from>
    <xdr:to>
      <xdr:col>14</xdr:col>
      <xdr:colOff>38100</xdr:colOff>
      <xdr:row>33</xdr:row>
      <xdr:rowOff>14288</xdr:rowOff>
    </xdr:to>
    <xdr:graphicFrame macro="">
      <xdr:nvGraphicFramePr>
        <xdr:cNvPr id="5" name="Chart 4">
          <a:extLst>
            <a:ext uri="{FF2B5EF4-FFF2-40B4-BE49-F238E27FC236}">
              <a16:creationId xmlns:a16="http://schemas.microsoft.com/office/drawing/2014/main" id="{2300818A-D891-4B18-AB06-11F401833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104775</xdr:colOff>
      <xdr:row>0</xdr:row>
      <xdr:rowOff>119062</xdr:rowOff>
    </xdr:from>
    <xdr:to>
      <xdr:col>22</xdr:col>
      <xdr:colOff>171450</xdr:colOff>
      <xdr:row>4</xdr:row>
      <xdr:rowOff>114299</xdr:rowOff>
    </xdr:to>
    <xdr:sp macro="" textlink="">
      <xdr:nvSpPr>
        <xdr:cNvPr id="2" name="Rectangle: Rounded Corners 1">
          <a:extLst>
            <a:ext uri="{FF2B5EF4-FFF2-40B4-BE49-F238E27FC236}">
              <a16:creationId xmlns:a16="http://schemas.microsoft.com/office/drawing/2014/main" id="{0243DD64-6537-F955-D927-9EDD4CB85F37}"/>
            </a:ext>
          </a:extLst>
        </xdr:cNvPr>
        <xdr:cNvSpPr/>
      </xdr:nvSpPr>
      <xdr:spPr>
        <a:xfrm>
          <a:off x="752475" y="119062"/>
          <a:ext cx="12372975" cy="71913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latin typeface="+mj-lt"/>
              <a:ea typeface="Calibri" panose="020F0502020204030204" pitchFamily="34" charset="0"/>
              <a:cs typeface="Calibri" panose="020F0502020204030204" pitchFamily="34" charset="0"/>
            </a:rPr>
            <a:t>Jumia</a:t>
          </a:r>
          <a:r>
            <a:rPr lang="en-US" sz="3600" b="1" baseline="0">
              <a:solidFill>
                <a:schemeClr val="bg1"/>
              </a:solidFill>
              <a:latin typeface="+mj-lt"/>
              <a:ea typeface="Calibri" panose="020F0502020204030204" pitchFamily="34" charset="0"/>
              <a:cs typeface="Calibri" panose="020F0502020204030204" pitchFamily="34" charset="0"/>
            </a:rPr>
            <a:t> Product Performance Dashboard</a:t>
          </a:r>
          <a:endParaRPr lang="en-KE" sz="3600" b="1">
            <a:solidFill>
              <a:schemeClr val="bg1"/>
            </a:solidFill>
            <a:latin typeface="+mj-lt"/>
            <a:ea typeface="Calibri" panose="020F0502020204030204" pitchFamily="34" charset="0"/>
            <a:cs typeface="Calibri" panose="020F0502020204030204" pitchFamily="34" charset="0"/>
          </a:endParaRPr>
        </a:p>
      </xdr:txBody>
    </xdr:sp>
    <xdr:clientData/>
  </xdr:twoCellAnchor>
  <xdr:twoCellAnchor>
    <xdr:from>
      <xdr:col>4</xdr:col>
      <xdr:colOff>9525</xdr:colOff>
      <xdr:row>5</xdr:row>
      <xdr:rowOff>66675</xdr:rowOff>
    </xdr:from>
    <xdr:to>
      <xdr:col>6</xdr:col>
      <xdr:colOff>538163</xdr:colOff>
      <xdr:row>8</xdr:row>
      <xdr:rowOff>85725</xdr:rowOff>
    </xdr:to>
    <xdr:sp macro="" textlink="">
      <xdr:nvSpPr>
        <xdr:cNvPr id="3" name="Rectangle: Rounded Corners 2">
          <a:extLst>
            <a:ext uri="{FF2B5EF4-FFF2-40B4-BE49-F238E27FC236}">
              <a16:creationId xmlns:a16="http://schemas.microsoft.com/office/drawing/2014/main" id="{8AED85F0-AF33-C44B-7D80-1503B9A64AAD}"/>
            </a:ext>
          </a:extLst>
        </xdr:cNvPr>
        <xdr:cNvSpPr/>
      </xdr:nvSpPr>
      <xdr:spPr>
        <a:xfrm>
          <a:off x="1304925" y="971550"/>
          <a:ext cx="1824038" cy="56197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Total Number of</a:t>
          </a:r>
          <a:r>
            <a:rPr lang="en-US" sz="1100" b="1" baseline="0">
              <a:solidFill>
                <a:sysClr val="windowText" lastClr="000000"/>
              </a:solidFill>
            </a:rPr>
            <a:t> Products</a:t>
          </a:r>
        </a:p>
        <a:p>
          <a:pPr algn="ctr"/>
          <a:r>
            <a:rPr lang="en-US" sz="1100" b="1" baseline="0">
              <a:solidFill>
                <a:sysClr val="windowText" lastClr="000000"/>
              </a:solidFill>
            </a:rPr>
            <a:t>112</a:t>
          </a:r>
          <a:endParaRPr lang="en-KE" sz="1100" b="1">
            <a:solidFill>
              <a:sysClr val="windowText" lastClr="000000"/>
            </a:solidFill>
          </a:endParaRPr>
        </a:p>
      </xdr:txBody>
    </xdr:sp>
    <xdr:clientData/>
  </xdr:twoCellAnchor>
  <xdr:twoCellAnchor>
    <xdr:from>
      <xdr:col>7</xdr:col>
      <xdr:colOff>376237</xdr:colOff>
      <xdr:row>5</xdr:row>
      <xdr:rowOff>80963</xdr:rowOff>
    </xdr:from>
    <xdr:to>
      <xdr:col>10</xdr:col>
      <xdr:colOff>257175</xdr:colOff>
      <xdr:row>8</xdr:row>
      <xdr:rowOff>100013</xdr:rowOff>
    </xdr:to>
    <xdr:sp macro="" textlink="">
      <xdr:nvSpPr>
        <xdr:cNvPr id="4" name="Rectangle: Rounded Corners 3">
          <a:extLst>
            <a:ext uri="{FF2B5EF4-FFF2-40B4-BE49-F238E27FC236}">
              <a16:creationId xmlns:a16="http://schemas.microsoft.com/office/drawing/2014/main" id="{C70F5F32-1EFB-4AD3-9CAB-015E134F86C9}"/>
            </a:ext>
          </a:extLst>
        </xdr:cNvPr>
        <xdr:cNvSpPr/>
      </xdr:nvSpPr>
      <xdr:spPr>
        <a:xfrm>
          <a:off x="3614737" y="985838"/>
          <a:ext cx="1824038" cy="561975"/>
        </a:xfrm>
        <a:prstGeom prst="roundRect">
          <a:avLst/>
        </a:prstGeom>
        <a:solidFill>
          <a:schemeClr val="accent2">
            <a:lumMod val="40000"/>
            <a:lumOff val="60000"/>
          </a:schemeClr>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Product Price</a:t>
          </a:r>
        </a:p>
        <a:p>
          <a:pPr marL="0" marR="0" lvl="0" indent="0" algn="ctr" defTabSz="914400" eaLnBrk="1" fontAlgn="auto" latinLnBrk="0" hangingPunct="1">
            <a:lnSpc>
              <a:spcPct val="100000"/>
            </a:lnSpc>
            <a:spcBef>
              <a:spcPts val="0"/>
            </a:spcBef>
            <a:spcAft>
              <a:spcPts val="0"/>
            </a:spcAft>
            <a:buClrTx/>
            <a:buSzTx/>
            <a:buFontTx/>
            <a:buNone/>
            <a:tabLst/>
            <a:defRPr/>
          </a:pPr>
          <a:r>
            <a:rPr lang="en-KE" sz="1100" b="1" i="0" u="none" strike="noStrike">
              <a:solidFill>
                <a:sysClr val="windowText" lastClr="000000"/>
              </a:solidFill>
              <a:effectLst/>
              <a:latin typeface="Calibri" panose="020F0502020204030204" pitchFamily="34" charset="0"/>
            </a:rPr>
            <a:t>Ksh1,186.89</a:t>
          </a:r>
          <a:r>
            <a:rPr lang="en-KE" b="1">
              <a:solidFill>
                <a:sysClr val="windowText" lastClr="000000"/>
              </a:solidFill>
              <a:effectLst/>
            </a:rPr>
            <a:t> </a:t>
          </a:r>
          <a:endParaRPr kumimoji="0" lang="en-KE" sz="1100" b="1"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11</xdr:col>
      <xdr:colOff>80963</xdr:colOff>
      <xdr:row>5</xdr:row>
      <xdr:rowOff>95250</xdr:rowOff>
    </xdr:from>
    <xdr:to>
      <xdr:col>13</xdr:col>
      <xdr:colOff>609601</xdr:colOff>
      <xdr:row>8</xdr:row>
      <xdr:rowOff>114300</xdr:rowOff>
    </xdr:to>
    <xdr:sp macro="" textlink="">
      <xdr:nvSpPr>
        <xdr:cNvPr id="5" name="Rectangle: Rounded Corners 4">
          <a:extLst>
            <a:ext uri="{FF2B5EF4-FFF2-40B4-BE49-F238E27FC236}">
              <a16:creationId xmlns:a16="http://schemas.microsoft.com/office/drawing/2014/main" id="{F131B58F-8BD1-4732-AAC3-8DDF503623CB}"/>
            </a:ext>
          </a:extLst>
        </xdr:cNvPr>
        <xdr:cNvSpPr/>
      </xdr:nvSpPr>
      <xdr:spPr>
        <a:xfrm>
          <a:off x="5910263" y="1000125"/>
          <a:ext cx="1824038" cy="561975"/>
        </a:xfrm>
        <a:prstGeom prst="roundRect">
          <a:avLst/>
        </a:prstGeom>
        <a:solidFill>
          <a:schemeClr val="accent2">
            <a:lumMod val="40000"/>
            <a:lumOff val="60000"/>
          </a:schemeClr>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Discount Price</a:t>
          </a:r>
        </a:p>
        <a:p>
          <a:pPr marL="0" marR="0" lvl="0" indent="0" algn="ctr" defTabSz="914400" eaLnBrk="1" fontAlgn="auto" latinLnBrk="0" hangingPunct="1">
            <a:lnSpc>
              <a:spcPct val="100000"/>
            </a:lnSpc>
            <a:spcBef>
              <a:spcPts val="0"/>
            </a:spcBef>
            <a:spcAft>
              <a:spcPts val="0"/>
            </a:spcAft>
            <a:buClrTx/>
            <a:buSzTx/>
            <a:buFontTx/>
            <a:buNone/>
            <a:tabLst/>
            <a:defRPr/>
          </a:pPr>
          <a:r>
            <a:rPr lang="en-KE" sz="1100" b="1" i="0" u="none" strike="noStrike">
              <a:solidFill>
                <a:sysClr val="windowText" lastClr="000000"/>
              </a:solidFill>
              <a:effectLst/>
              <a:latin typeface="+mn-lt"/>
              <a:ea typeface="+mn-ea"/>
              <a:cs typeface="+mn-cs"/>
            </a:rPr>
            <a:t>37%</a:t>
          </a:r>
          <a:r>
            <a:rPr lang="en-KE" b="1">
              <a:solidFill>
                <a:sysClr val="windowText" lastClr="000000"/>
              </a:solidFill>
              <a:effectLst/>
            </a:rPr>
            <a:t> </a:t>
          </a:r>
          <a:endParaRPr kumimoji="0" lang="en-KE" sz="1100" b="1"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14</xdr:col>
      <xdr:colOff>385762</xdr:colOff>
      <xdr:row>5</xdr:row>
      <xdr:rowOff>76200</xdr:rowOff>
    </xdr:from>
    <xdr:to>
      <xdr:col>17</xdr:col>
      <xdr:colOff>266700</xdr:colOff>
      <xdr:row>8</xdr:row>
      <xdr:rowOff>95250</xdr:rowOff>
    </xdr:to>
    <xdr:sp macro="" textlink="">
      <xdr:nvSpPr>
        <xdr:cNvPr id="6" name="Rectangle: Rounded Corners 5">
          <a:extLst>
            <a:ext uri="{FF2B5EF4-FFF2-40B4-BE49-F238E27FC236}">
              <a16:creationId xmlns:a16="http://schemas.microsoft.com/office/drawing/2014/main" id="{09B0E7A9-4CBD-43E2-A184-BF81FC7DC5A8}"/>
            </a:ext>
          </a:extLst>
        </xdr:cNvPr>
        <xdr:cNvSpPr/>
      </xdr:nvSpPr>
      <xdr:spPr>
        <a:xfrm>
          <a:off x="8158162" y="981075"/>
          <a:ext cx="1824038" cy="561975"/>
        </a:xfrm>
        <a:prstGeom prst="roundRect">
          <a:avLst/>
        </a:prstGeom>
        <a:solidFill>
          <a:schemeClr val="accent2">
            <a:lumMod val="40000"/>
            <a:lumOff val="60000"/>
          </a:schemeClr>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Average Rating</a:t>
          </a:r>
        </a:p>
        <a:p>
          <a:pPr marL="0" marR="0" lvl="0" indent="0" algn="ctr" defTabSz="914400" eaLnBrk="1" fontAlgn="auto" latinLnBrk="0" hangingPunct="1">
            <a:lnSpc>
              <a:spcPct val="100000"/>
            </a:lnSpc>
            <a:spcBef>
              <a:spcPts val="0"/>
            </a:spcBef>
            <a:spcAft>
              <a:spcPts val="0"/>
            </a:spcAft>
            <a:buClrTx/>
            <a:buSzTx/>
            <a:buFontTx/>
            <a:buNone/>
            <a:tabLst/>
            <a:defRPr/>
          </a:pPr>
          <a:r>
            <a:rPr lang="en-KE" sz="1100" b="1" i="0" u="none" strike="noStrike">
              <a:solidFill>
                <a:sysClr val="windowText" lastClr="000000"/>
              </a:solidFill>
              <a:effectLst/>
              <a:latin typeface="+mn-lt"/>
              <a:ea typeface="+mn-ea"/>
              <a:cs typeface="+mn-cs"/>
            </a:rPr>
            <a:t>3.89</a:t>
          </a:r>
          <a:r>
            <a:rPr lang="en-KE" b="1">
              <a:solidFill>
                <a:sysClr val="windowText" lastClr="000000"/>
              </a:solidFill>
              <a:effectLst/>
            </a:rPr>
            <a:t> </a:t>
          </a:r>
          <a:endParaRPr kumimoji="0" lang="en-KE" sz="1100" b="1"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17</xdr:col>
      <xdr:colOff>642938</xdr:colOff>
      <xdr:row>5</xdr:row>
      <xdr:rowOff>61914</xdr:rowOff>
    </xdr:from>
    <xdr:to>
      <xdr:col>20</xdr:col>
      <xdr:colOff>523876</xdr:colOff>
      <xdr:row>8</xdr:row>
      <xdr:rowOff>80964</xdr:rowOff>
    </xdr:to>
    <xdr:sp macro="" textlink="">
      <xdr:nvSpPr>
        <xdr:cNvPr id="7" name="Rectangle: Rounded Corners 6">
          <a:extLst>
            <a:ext uri="{FF2B5EF4-FFF2-40B4-BE49-F238E27FC236}">
              <a16:creationId xmlns:a16="http://schemas.microsoft.com/office/drawing/2014/main" id="{8F55883F-A0D0-4BBD-A65F-28DE76ED195B}"/>
            </a:ext>
          </a:extLst>
        </xdr:cNvPr>
        <xdr:cNvSpPr/>
      </xdr:nvSpPr>
      <xdr:spPr>
        <a:xfrm>
          <a:off x="10358438" y="966789"/>
          <a:ext cx="1824038" cy="561975"/>
        </a:xfrm>
        <a:prstGeom prst="roundRect">
          <a:avLst/>
        </a:prstGeom>
        <a:solidFill>
          <a:schemeClr val="accent2">
            <a:lumMod val="40000"/>
            <a:lumOff val="60000"/>
          </a:schemeClr>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Total Customer Reviews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Aptos Narrow" panose="02110004020202020204"/>
              <a:ea typeface="+mn-ea"/>
              <a:cs typeface="+mn-cs"/>
            </a:rPr>
            <a:t>723</a:t>
          </a:r>
          <a:endParaRPr kumimoji="0" lang="en-KE" sz="1100" b="1"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editAs="oneCell">
    <xdr:from>
      <xdr:col>1</xdr:col>
      <xdr:colOff>549089</xdr:colOff>
      <xdr:row>10</xdr:row>
      <xdr:rowOff>56029</xdr:rowOff>
    </xdr:from>
    <xdr:to>
      <xdr:col>4</xdr:col>
      <xdr:colOff>466167</xdr:colOff>
      <xdr:row>19</xdr:row>
      <xdr:rowOff>44823</xdr:rowOff>
    </xdr:to>
    <mc:AlternateContent xmlns:mc="http://schemas.openxmlformats.org/markup-compatibility/2006">
      <mc:Choice xmlns:a14="http://schemas.microsoft.com/office/drawing/2010/main" Requires="a14">
        <xdr:graphicFrame macro="">
          <xdr:nvGraphicFramePr>
            <xdr:cNvPr id="8" name="Rating Category 1">
              <a:extLst>
                <a:ext uri="{FF2B5EF4-FFF2-40B4-BE49-F238E27FC236}">
                  <a16:creationId xmlns:a16="http://schemas.microsoft.com/office/drawing/2014/main" id="{4CE4395C-4EE6-4F76-8F58-3C8B88DE8A51}"/>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199030" y="1848970"/>
              <a:ext cx="1866902" cy="160244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560294</xdr:colOff>
      <xdr:row>20</xdr:row>
      <xdr:rowOff>11206</xdr:rowOff>
    </xdr:from>
    <xdr:to>
      <xdr:col>4</xdr:col>
      <xdr:colOff>443753</xdr:colOff>
      <xdr:row>28</xdr:row>
      <xdr:rowOff>89647</xdr:rowOff>
    </xdr:to>
    <mc:AlternateContent xmlns:mc="http://schemas.openxmlformats.org/markup-compatibility/2006">
      <mc:Choice xmlns:a14="http://schemas.microsoft.com/office/drawing/2010/main" Requires="a14">
        <xdr:graphicFrame macro="">
          <xdr:nvGraphicFramePr>
            <xdr:cNvPr id="9" name="Price Category 1">
              <a:extLst>
                <a:ext uri="{FF2B5EF4-FFF2-40B4-BE49-F238E27FC236}">
                  <a16:creationId xmlns:a16="http://schemas.microsoft.com/office/drawing/2014/main" id="{03F8BECF-9BE4-45C8-893B-525C5FF2B236}"/>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1210235" y="3597088"/>
              <a:ext cx="1833283" cy="151279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560295</xdr:colOff>
      <xdr:row>29</xdr:row>
      <xdr:rowOff>39221</xdr:rowOff>
    </xdr:from>
    <xdr:to>
      <xdr:col>4</xdr:col>
      <xdr:colOff>446275</xdr:colOff>
      <xdr:row>38</xdr:row>
      <xdr:rowOff>28015</xdr:rowOff>
    </xdr:to>
    <mc:AlternateContent xmlns:mc="http://schemas.openxmlformats.org/markup-compatibility/2006">
      <mc:Choice xmlns:a14="http://schemas.microsoft.com/office/drawing/2010/main" Requires="a14">
        <xdr:graphicFrame macro="">
          <xdr:nvGraphicFramePr>
            <xdr:cNvPr id="10" name="Discount Category 1">
              <a:extLst>
                <a:ext uri="{FF2B5EF4-FFF2-40B4-BE49-F238E27FC236}">
                  <a16:creationId xmlns:a16="http://schemas.microsoft.com/office/drawing/2014/main" id="{D9EE7269-2E5A-4D04-A63F-72C23DACC143}"/>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210236" y="5238750"/>
              <a:ext cx="1835804" cy="160244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28015</xdr:colOff>
      <xdr:row>10</xdr:row>
      <xdr:rowOff>0</xdr:rowOff>
    </xdr:from>
    <xdr:to>
      <xdr:col>11</xdr:col>
      <xdr:colOff>201706</xdr:colOff>
      <xdr:row>22</xdr:row>
      <xdr:rowOff>119062</xdr:rowOff>
    </xdr:to>
    <xdr:graphicFrame macro="">
      <xdr:nvGraphicFramePr>
        <xdr:cNvPr id="11" name="Chart 10">
          <a:extLst>
            <a:ext uri="{FF2B5EF4-FFF2-40B4-BE49-F238E27FC236}">
              <a16:creationId xmlns:a16="http://schemas.microsoft.com/office/drawing/2014/main" id="{6B2D004B-5771-4E29-9BDC-BA09A5849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33618</xdr:colOff>
      <xdr:row>23</xdr:row>
      <xdr:rowOff>89647</xdr:rowOff>
    </xdr:from>
    <xdr:to>
      <xdr:col>11</xdr:col>
      <xdr:colOff>173690</xdr:colOff>
      <xdr:row>38</xdr:row>
      <xdr:rowOff>89648</xdr:rowOff>
    </xdr:to>
    <xdr:graphicFrame macro="">
      <xdr:nvGraphicFramePr>
        <xdr:cNvPr id="12" name="Chart 11">
          <a:extLst>
            <a:ext uri="{FF2B5EF4-FFF2-40B4-BE49-F238E27FC236}">
              <a16:creationId xmlns:a16="http://schemas.microsoft.com/office/drawing/2014/main" id="{C0AEE558-D067-4BBD-856A-35CDD4FEB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358589</xdr:colOff>
      <xdr:row>10</xdr:row>
      <xdr:rowOff>0</xdr:rowOff>
    </xdr:from>
    <xdr:to>
      <xdr:col>17</xdr:col>
      <xdr:colOff>493059</xdr:colOff>
      <xdr:row>22</xdr:row>
      <xdr:rowOff>134470</xdr:rowOff>
    </xdr:to>
    <xdr:graphicFrame macro="">
      <xdr:nvGraphicFramePr>
        <xdr:cNvPr id="13" name="Chart 12">
          <a:extLst>
            <a:ext uri="{FF2B5EF4-FFF2-40B4-BE49-F238E27FC236}">
              <a16:creationId xmlns:a16="http://schemas.microsoft.com/office/drawing/2014/main" id="{73706057-3AFD-4858-9404-E0306CEEE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330574</xdr:colOff>
      <xdr:row>23</xdr:row>
      <xdr:rowOff>106456</xdr:rowOff>
    </xdr:from>
    <xdr:to>
      <xdr:col>17</xdr:col>
      <xdr:colOff>509868</xdr:colOff>
      <xdr:row>38</xdr:row>
      <xdr:rowOff>72839</xdr:rowOff>
    </xdr:to>
    <xdr:graphicFrame macro="">
      <xdr:nvGraphicFramePr>
        <xdr:cNvPr id="14" name="Chart 13">
          <a:extLst>
            <a:ext uri="{FF2B5EF4-FFF2-40B4-BE49-F238E27FC236}">
              <a16:creationId xmlns:a16="http://schemas.microsoft.com/office/drawing/2014/main" id="{E9B48780-1E0E-40DD-B8EB-EF366371C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638735</xdr:colOff>
      <xdr:row>9</xdr:row>
      <xdr:rowOff>162485</xdr:rowOff>
    </xdr:from>
    <xdr:to>
      <xdr:col>24</xdr:col>
      <xdr:colOff>246530</xdr:colOff>
      <xdr:row>22</xdr:row>
      <xdr:rowOff>151279</xdr:rowOff>
    </xdr:to>
    <xdr:graphicFrame macro="">
      <xdr:nvGraphicFramePr>
        <xdr:cNvPr id="16" name="Chart 15">
          <a:extLst>
            <a:ext uri="{FF2B5EF4-FFF2-40B4-BE49-F238E27FC236}">
              <a16:creationId xmlns:a16="http://schemas.microsoft.com/office/drawing/2014/main" id="{F0E94935-6101-4968-9B62-48ECBBF38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5604</xdr:colOff>
      <xdr:row>23</xdr:row>
      <xdr:rowOff>89646</xdr:rowOff>
    </xdr:from>
    <xdr:to>
      <xdr:col>24</xdr:col>
      <xdr:colOff>280149</xdr:colOff>
      <xdr:row>38</xdr:row>
      <xdr:rowOff>89648</xdr:rowOff>
    </xdr:to>
    <xdr:graphicFrame macro="">
      <xdr:nvGraphicFramePr>
        <xdr:cNvPr id="17" name="Chart 16">
          <a:extLst>
            <a:ext uri="{FF2B5EF4-FFF2-40B4-BE49-F238E27FC236}">
              <a16:creationId xmlns:a16="http://schemas.microsoft.com/office/drawing/2014/main" id="{C78957D6-BAB0-4BEB-906A-4E3B38060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Zena.Muhoro/Downloads/jumia-product-performance-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soft Technologies" refreshedDate="46270.282535300925" createdVersion="8" refreshedVersion="8" minRefreshableVersion="3" recordCount="112" xr:uid="{2A1CB3D2-CBED-4C44-BF41-4E7BE093A83A}">
  <cacheSource type="worksheet">
    <worksheetSource name="tblProducts" r:id="rId2"/>
  </cacheSource>
  <cacheFields count="10">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Price Category" numFmtId="164">
      <sharedItems count="3">
        <s v="Medium Price"/>
        <s v="High Price"/>
        <s v="Low Price"/>
      </sharedItems>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Discount"/>
        <s v="High Discount"/>
        <s v="Low Discount"/>
      </sharedItems>
    </cacheField>
    <cacheField name="Review" numFmtId="1">
      <sharedItems containsMixedTypes="1" containsNumber="1" containsInteger="1" minValue="1" maxValue="69" count="24">
        <n v="2"/>
        <n v="14"/>
        <n v="24"/>
        <n v="7"/>
        <n v="5"/>
        <n v="15"/>
        <n v="55"/>
        <n v="12"/>
        <n v="39"/>
        <n v="6"/>
        <n v="9"/>
        <n v="3"/>
        <n v="44"/>
        <n v="13"/>
        <s v=""/>
        <n v="49"/>
        <n v="20"/>
        <n v="32"/>
        <n v="1"/>
        <n v="36"/>
        <n v="10"/>
        <n v="69"/>
        <n v="16"/>
        <n v="17"/>
      </sharedItems>
    </cacheField>
    <cacheField name="Rating" numFmtId="175">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175">
      <sharedItems count="5">
        <s v="Excellent"/>
        <s v="Unclassified"/>
        <s v="Average"/>
        <s v="Missing"/>
        <s v="Poor"/>
      </sharedItems>
    </cacheField>
  </cacheFields>
  <extLst>
    <ext xmlns:x14="http://schemas.microsoft.com/office/spreadsheetml/2009/9/main" uri="{725AE2AE-9491-48be-B2B4-4EB974FC3084}">
      <x14:pivotCacheDefinition pivotCacheId="2839818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78972025463" backgroundQuery="1" createdVersion="8" refreshedVersion="8" minRefreshableVersion="3" recordCount="0" supportSubquery="1" supportAdvancedDrill="1" xr:uid="{B0C9C8C4-AB22-40A3-B73E-EAC9514DDC1C}">
  <cacheSource type="external" connectionId="3"/>
  <cacheFields count="2">
    <cacheField name="[Excel_jumia_dataset3].[Discount Category].[Discount Category]" caption="Discount Category" numFmtId="0" hierarchy="6" level="1">
      <sharedItems count="3">
        <s v="High Discount"/>
        <s v="Low Discount"/>
        <s v="Medium Discount"/>
      </sharedItems>
    </cacheField>
    <cacheField name="[Measures].[Count of Product]" caption="Count of Product" numFmtId="0" hierarchy="12" level="32767"/>
  </cacheFields>
  <cacheHierarchies count="21">
    <cacheHierarchy uniqueName="[Excel_jumia_dataset3].[Product]" caption="Product" attribute="1" defaultMemberUniqueName="[Excel_jumia_dataset3].[Product].[All]" allUniqueName="[Excel_jumia_dataset3].[Product].[All]" dimensionUniqueName="[Excel_jumia_dataset3]" displayFolder="" count="0"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0" memberValueDatatype="20" unbalanced="0"/>
    <cacheHierarchy uniqueName="[Excel_jumia_dataset3].[Old Price]" caption="Old Price" attribute="1" defaultMemberUniqueName="[Excel_jumia_dataset3].[Old Price].[All]" allUniqueName="[Excel_jumia_dataset3].[Old Price].[All]" dimensionUniqueName="[Excel_jumia_dataset3]" displayFolder="" count="0"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0" memberValueDatatype="130" unbalanced="0"/>
    <cacheHierarchy uniqueName="[Excel_jumia_dataset3].[Discount Amount]" caption="Discount Amount" attribute="1" defaultMemberUniqueName="[Excel_jumia_dataset3].[Discount Amount].[All]" allUniqueName="[Excel_jumia_dataset3].[Discount Amount].[All]" dimensionUniqueName="[Excel_jumia_dataset3]" displayFolder="" count="0" memberValueDatatype="20" unbalanced="0"/>
    <cacheHierarchy uniqueName="[Excel_jumia_dataset3].[Discount]" caption="Discount" attribute="1" defaultMemberUniqueName="[Excel_jumia_dataset3].[Discount].[All]" allUniqueName="[Excel_jumia_dataset3].[Discount].[All]" dimensionUniqueName="[Excel_jumia_dataset3]" displayFolder="" count="0"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fieldsUsage count="2">
        <fieldUsage x="-1"/>
        <fieldUsage x="0"/>
      </fieldsUsage>
    </cacheHierarchy>
    <cacheHierarchy uniqueName="[Excel_jumia_dataset3].[Review]" caption="Review" attribute="1" defaultMemberUniqueName="[Excel_jumia_dataset3].[Review].[All]" allUniqueName="[Excel_jumia_dataset3].[Review].[All]" dimensionUniqueName="[Excel_jumia_dataset3]" displayFolder="" count="0" memberValueDatatype="20" unbalanced="0"/>
    <cacheHierarchy uniqueName="[Excel_jumia_dataset3].[Rating]" caption="Rating" attribute="1" defaultMemberUniqueName="[Excel_jumia_dataset3].[Rating].[All]" allUniqueName="[Excel_jumia_dataset3].[Rating].[All]" dimensionUniqueName="[Excel_jumia_dataset3]" displayFolder="" count="0"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0" memberValueDatatype="130" unbalanced="0"/>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iew]" caption="Sum of Review" measure="1" displayFolder="" measureGroup="Excel_jumia_dataset3"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Excel_jumia_dataset3"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Discount]" caption="Count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Excel_jumia_dataset3" count="0" hidden="1">
      <extLst>
        <ext xmlns:x15="http://schemas.microsoft.com/office/spreadsheetml/2010/11/main" uri="{B97F6D7D-B522-45F9-BDA1-12C45D357490}">
          <x15:cacheHierarchy aggregatedColumn="9"/>
        </ext>
      </extLst>
    </cacheHierarchy>
    <cacheHierarchy uniqueName="[Measures].[Sum of Current Price]" caption="Sum of Current Price" measure="1" displayFolder="" measureGroup="Excel_jumia_dataset3" count="0" hidden="1">
      <extLst>
        <ext xmlns:x15="http://schemas.microsoft.com/office/spreadsheetml/2010/11/main" uri="{B97F6D7D-B522-45F9-BDA1-12C45D357490}">
          <x15:cacheHierarchy aggregatedColumn="1"/>
        </ext>
      </extLst>
    </cacheHierarchy>
    <cacheHierarchy uniqueName="[Measures].[Average of Current Price]" caption="Average of Current Price" measure="1" displayFolder="" measureGroup="Excel_jumia_dataset3" count="0" hidden="1">
      <extLst>
        <ext xmlns:x15="http://schemas.microsoft.com/office/spreadsheetml/2010/11/main" uri="{B97F6D7D-B522-45F9-BDA1-12C45D357490}">
          <x15:cacheHierarchy aggregatedColumn="1"/>
        </ext>
      </extLst>
    </cacheHierarchy>
  </cacheHierarchies>
  <kpis count="0"/>
  <dimensions count="2">
    <dimension name="Excel_jumia_dataset3" uniqueName="[Excel_jumia_dataset3]" caption="Excel_jumia_dataset3"/>
    <dimension measure="1" name="Measures" uniqueName="[Measures]" caption="Measures"/>
  </dimensions>
  <measureGroups count="1">
    <measureGroup name="Excel_jumia_dataset3" caption="Excel_jumia_dataset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789722800924" backgroundQuery="1" createdVersion="8" refreshedVersion="8" minRefreshableVersion="3" recordCount="0" supportSubquery="1" supportAdvancedDrill="1" xr:uid="{DDD41944-3A7A-4BFF-800E-FBB9F3C5137B}">
  <cacheSource type="external" connectionId="3"/>
  <cacheFields count="3">
    <cacheField name="[Excel_jumia_dataset3].[Price Category].[Price Category]" caption="Price Category" numFmtId="0" hierarchy="3" level="1">
      <sharedItems count="3">
        <s v="High Price"/>
        <s v="Low Price"/>
        <s v="Medium Price"/>
      </sharedItems>
    </cacheField>
    <cacheField name="[Measures].[Count of Rating]" caption="Count of Rating" numFmtId="0" hierarchy="14" level="32767"/>
    <cacheField name="[Excel_jumia_dataset3].[Discount Category].[Discount Category]" caption="Discount Category" numFmtId="0" hierarchy="6" level="1">
      <sharedItems containsSemiMixedTypes="0" containsNonDate="0" containsString="0"/>
    </cacheField>
  </cacheFields>
  <cacheHierarchies count="21">
    <cacheHierarchy uniqueName="[Excel_jumia_dataset3].[Product]" caption="Product" attribute="1" defaultMemberUniqueName="[Excel_jumia_dataset3].[Product].[All]" allUniqueName="[Excel_jumia_dataset3].[Product].[All]" dimensionUniqueName="[Excel_jumia_dataset3]" displayFolder="" count="0"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0" memberValueDatatype="20" unbalanced="0"/>
    <cacheHierarchy uniqueName="[Excel_jumia_dataset3].[Old Price]" caption="Old Price" attribute="1" defaultMemberUniqueName="[Excel_jumia_dataset3].[Old Price].[All]" allUniqueName="[Excel_jumia_dataset3].[Old Price].[All]" dimensionUniqueName="[Excel_jumia_dataset3]" displayFolder="" count="0"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2" memberValueDatatype="130" unbalanced="0">
      <fieldsUsage count="2">
        <fieldUsage x="-1"/>
        <fieldUsage x="0"/>
      </fieldsUsage>
    </cacheHierarchy>
    <cacheHierarchy uniqueName="[Excel_jumia_dataset3].[Discount Amount]" caption="Discount Amount" attribute="1" defaultMemberUniqueName="[Excel_jumia_dataset3].[Discount Amount].[All]" allUniqueName="[Excel_jumia_dataset3].[Discount Amount].[All]" dimensionUniqueName="[Excel_jumia_dataset3]" displayFolder="" count="0" memberValueDatatype="20" unbalanced="0"/>
    <cacheHierarchy uniqueName="[Excel_jumia_dataset3].[Discount]" caption="Discount" attribute="1" defaultMemberUniqueName="[Excel_jumia_dataset3].[Discount].[All]" allUniqueName="[Excel_jumia_dataset3].[Discount].[All]" dimensionUniqueName="[Excel_jumia_dataset3]" displayFolder="" count="0"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fieldsUsage count="2">
        <fieldUsage x="-1"/>
        <fieldUsage x="2"/>
      </fieldsUsage>
    </cacheHierarchy>
    <cacheHierarchy uniqueName="[Excel_jumia_dataset3].[Review]" caption="Review" attribute="1" defaultMemberUniqueName="[Excel_jumia_dataset3].[Review].[All]" allUniqueName="[Excel_jumia_dataset3].[Review].[All]" dimensionUniqueName="[Excel_jumia_dataset3]" displayFolder="" count="0" memberValueDatatype="20" unbalanced="0"/>
    <cacheHierarchy uniqueName="[Excel_jumia_dataset3].[Rating]" caption="Rating" attribute="1" defaultMemberUniqueName="[Excel_jumia_dataset3].[Rating].[All]" allUniqueName="[Excel_jumia_dataset3].[Rating].[All]" dimensionUniqueName="[Excel_jumia_dataset3]" displayFolder="" count="0"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0" memberValueDatatype="130" unbalanced="0"/>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hidden="1">
      <extLst>
        <ext xmlns:x15="http://schemas.microsoft.com/office/spreadsheetml/2010/11/main" uri="{B97F6D7D-B522-45F9-BDA1-12C45D357490}">
          <x15:cacheHierarchy aggregatedColumn="0"/>
        </ext>
      </extLst>
    </cacheHierarchy>
    <cacheHierarchy uniqueName="[Measures].[Sum of Review]" caption="Sum of Review" measure="1" displayFolder="" measureGroup="Excel_jumia_dataset3"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Excel_jumia_dataset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iscount]" caption="Sum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Discount]" caption="Count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Excel_jumia_dataset3" count="0" hidden="1">
      <extLst>
        <ext xmlns:x15="http://schemas.microsoft.com/office/spreadsheetml/2010/11/main" uri="{B97F6D7D-B522-45F9-BDA1-12C45D357490}">
          <x15:cacheHierarchy aggregatedColumn="9"/>
        </ext>
      </extLst>
    </cacheHierarchy>
    <cacheHierarchy uniqueName="[Measures].[Sum of Current Price]" caption="Sum of Current Price" measure="1" displayFolder="" measureGroup="Excel_jumia_dataset3" count="0" hidden="1">
      <extLst>
        <ext xmlns:x15="http://schemas.microsoft.com/office/spreadsheetml/2010/11/main" uri="{B97F6D7D-B522-45F9-BDA1-12C45D357490}">
          <x15:cacheHierarchy aggregatedColumn="1"/>
        </ext>
      </extLst>
    </cacheHierarchy>
    <cacheHierarchy uniqueName="[Measures].[Average of Current Price]" caption="Average of Current Price" measure="1" displayFolder="" measureGroup="Excel_jumia_dataset3" count="0" hidden="1">
      <extLst>
        <ext xmlns:x15="http://schemas.microsoft.com/office/spreadsheetml/2010/11/main" uri="{B97F6D7D-B522-45F9-BDA1-12C45D357490}">
          <x15:cacheHierarchy aggregatedColumn="1"/>
        </ext>
      </extLst>
    </cacheHierarchy>
  </cacheHierarchies>
  <kpis count="0"/>
  <dimensions count="2">
    <dimension name="Excel_jumia_dataset3" uniqueName="[Excel_jumia_dataset3]" caption="Excel_jumia_dataset3"/>
    <dimension measure="1" name="Measures" uniqueName="[Measures]" caption="Measures"/>
  </dimensions>
  <measureGroups count="1">
    <measureGroup name="Excel_jumia_dataset3" caption="Excel_jumia_dataset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789723842594" backgroundQuery="1" createdVersion="8" refreshedVersion="8" minRefreshableVersion="3" recordCount="0" supportSubquery="1" supportAdvancedDrill="1" xr:uid="{1A41CA0F-98C5-43B7-AB8B-EE878A718BE0}">
  <cacheSource type="external" connectionId="3"/>
  <cacheFields count="2">
    <cacheField name="[Measures].[Count of Product]" caption="Count of Product" numFmtId="0" hierarchy="12" level="32767"/>
    <cacheField name="[Excel_jumia_dataset3].[Discount Category].[Discount Category]" caption="Discount Category" numFmtId="0" hierarchy="6" level="1">
      <sharedItems containsSemiMixedTypes="0" containsNonDate="0" containsString="0"/>
    </cacheField>
  </cacheFields>
  <cacheHierarchies count="21">
    <cacheHierarchy uniqueName="[Excel_jumia_dataset3].[Product]" caption="Product" attribute="1" defaultMemberUniqueName="[Excel_jumia_dataset3].[Product].[All]" allUniqueName="[Excel_jumia_dataset3].[Product].[All]" dimensionUniqueName="[Excel_jumia_dataset3]" displayFolder="" count="0"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0" memberValueDatatype="20" unbalanced="0"/>
    <cacheHierarchy uniqueName="[Excel_jumia_dataset3].[Old Price]" caption="Old Price" attribute="1" defaultMemberUniqueName="[Excel_jumia_dataset3].[Old Price].[All]" allUniqueName="[Excel_jumia_dataset3].[Old Price].[All]" dimensionUniqueName="[Excel_jumia_dataset3]" displayFolder="" count="0"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0" memberValueDatatype="130" unbalanced="0"/>
    <cacheHierarchy uniqueName="[Excel_jumia_dataset3].[Discount Amount]" caption="Discount Amount" attribute="1" defaultMemberUniqueName="[Excel_jumia_dataset3].[Discount Amount].[All]" allUniqueName="[Excel_jumia_dataset3].[Discount Amount].[All]" dimensionUniqueName="[Excel_jumia_dataset3]" displayFolder="" count="0" memberValueDatatype="20" unbalanced="0"/>
    <cacheHierarchy uniqueName="[Excel_jumia_dataset3].[Discount]" caption="Discount" attribute="1" defaultMemberUniqueName="[Excel_jumia_dataset3].[Discount].[All]" allUniqueName="[Excel_jumia_dataset3].[Discount].[All]" dimensionUniqueName="[Excel_jumia_dataset3]" displayFolder="" count="0"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fieldsUsage count="2">
        <fieldUsage x="-1"/>
        <fieldUsage x="1"/>
      </fieldsUsage>
    </cacheHierarchy>
    <cacheHierarchy uniqueName="[Excel_jumia_dataset3].[Review]" caption="Review" attribute="1" defaultMemberUniqueName="[Excel_jumia_dataset3].[Review].[All]" allUniqueName="[Excel_jumia_dataset3].[Review].[All]" dimensionUniqueName="[Excel_jumia_dataset3]" displayFolder="" count="0" memberValueDatatype="20" unbalanced="0"/>
    <cacheHierarchy uniqueName="[Excel_jumia_dataset3].[Rating]" caption="Rating" attribute="1" defaultMemberUniqueName="[Excel_jumia_dataset3].[Rating].[All]" allUniqueName="[Excel_jumia_dataset3].[Rating].[All]" dimensionUniqueName="[Excel_jumia_dataset3]" displayFolder="" count="0"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0" memberValueDatatype="130" unbalanced="0"/>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iew]" caption="Sum of Review" measure="1" displayFolder="" measureGroup="Excel_jumia_dataset3"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Excel_jumia_dataset3"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Discount]" caption="Count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Excel_jumia_dataset3" count="0" hidden="1">
      <extLst>
        <ext xmlns:x15="http://schemas.microsoft.com/office/spreadsheetml/2010/11/main" uri="{B97F6D7D-B522-45F9-BDA1-12C45D357490}">
          <x15:cacheHierarchy aggregatedColumn="9"/>
        </ext>
      </extLst>
    </cacheHierarchy>
    <cacheHierarchy uniqueName="[Measures].[Sum of Current Price]" caption="Sum of Current Price" measure="1" displayFolder="" measureGroup="Excel_jumia_dataset3" count="0" hidden="1">
      <extLst>
        <ext xmlns:x15="http://schemas.microsoft.com/office/spreadsheetml/2010/11/main" uri="{B97F6D7D-B522-45F9-BDA1-12C45D357490}">
          <x15:cacheHierarchy aggregatedColumn="1"/>
        </ext>
      </extLst>
    </cacheHierarchy>
    <cacheHierarchy uniqueName="[Measures].[Average of Current Price]" caption="Average of Current Price" measure="1" displayFolder="" measureGroup="Excel_jumia_dataset3" count="0" hidden="1">
      <extLst>
        <ext xmlns:x15="http://schemas.microsoft.com/office/spreadsheetml/2010/11/main" uri="{B97F6D7D-B522-45F9-BDA1-12C45D357490}">
          <x15:cacheHierarchy aggregatedColumn="1"/>
        </ext>
      </extLst>
    </cacheHierarchy>
  </cacheHierarchies>
  <kpis count="0"/>
  <dimensions count="2">
    <dimension name="Excel_jumia_dataset3" uniqueName="[Excel_jumia_dataset3]" caption="Excel_jumia_dataset3"/>
    <dimension measure="1" name="Measures" uniqueName="[Measures]" caption="Measures"/>
  </dimensions>
  <measureGroups count="1">
    <measureGroup name="Excel_jumia_dataset3" caption="Excel_jumia_dataset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79270972222" backgroundQuery="1" createdVersion="8" refreshedVersion="8" minRefreshableVersion="3" recordCount="0" supportSubquery="1" supportAdvancedDrill="1" xr:uid="{38A8710A-E3F4-4506-B4A2-A19147ECE2F0}">
  <cacheSource type="external" connectionId="3"/>
  <cacheFields count="2">
    <cacheField name="[Excel_jumia_dataset3].[Price Category].[Price Category]" caption="Price Category" numFmtId="0" hierarchy="3" level="1">
      <sharedItems count="3">
        <s v="High Price"/>
        <s v="Low Price"/>
        <s v="Medium Price"/>
      </sharedItems>
    </cacheField>
    <cacheField name="[Measures].[Count of Product]" caption="Count of Product" numFmtId="0" hierarchy="12" level="32767"/>
  </cacheFields>
  <cacheHierarchies count="21">
    <cacheHierarchy uniqueName="[Excel_jumia_dataset3].[Product]" caption="Product" attribute="1" defaultMemberUniqueName="[Excel_jumia_dataset3].[Product].[All]" allUniqueName="[Excel_jumia_dataset3].[Product].[All]" dimensionUniqueName="[Excel_jumia_dataset3]" displayFolder="" count="0"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0" memberValueDatatype="20" unbalanced="0"/>
    <cacheHierarchy uniqueName="[Excel_jumia_dataset3].[Old Price]" caption="Old Price" attribute="1" defaultMemberUniqueName="[Excel_jumia_dataset3].[Old Price].[All]" allUniqueName="[Excel_jumia_dataset3].[Old Price].[All]" dimensionUniqueName="[Excel_jumia_dataset3]" displayFolder="" count="0"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2" memberValueDatatype="130" unbalanced="0">
      <fieldsUsage count="2">
        <fieldUsage x="-1"/>
        <fieldUsage x="0"/>
      </fieldsUsage>
    </cacheHierarchy>
    <cacheHierarchy uniqueName="[Excel_jumia_dataset3].[Discount Amount]" caption="Discount Amount" attribute="1" defaultMemberUniqueName="[Excel_jumia_dataset3].[Discount Amount].[All]" allUniqueName="[Excel_jumia_dataset3].[Discount Amount].[All]" dimensionUniqueName="[Excel_jumia_dataset3]" displayFolder="" count="0" memberValueDatatype="20" unbalanced="0"/>
    <cacheHierarchy uniqueName="[Excel_jumia_dataset3].[Discount]" caption="Discount" attribute="1" defaultMemberUniqueName="[Excel_jumia_dataset3].[Discount].[All]" allUniqueName="[Excel_jumia_dataset3].[Discount].[All]" dimensionUniqueName="[Excel_jumia_dataset3]" displayFolder="" count="0"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cacheHierarchy uniqueName="[Excel_jumia_dataset3].[Review]" caption="Review" attribute="1" defaultMemberUniqueName="[Excel_jumia_dataset3].[Review].[All]" allUniqueName="[Excel_jumia_dataset3].[Review].[All]" dimensionUniqueName="[Excel_jumia_dataset3]" displayFolder="" count="0" memberValueDatatype="20" unbalanced="0"/>
    <cacheHierarchy uniqueName="[Excel_jumia_dataset3].[Rating]" caption="Rating" attribute="1" defaultMemberUniqueName="[Excel_jumia_dataset3].[Rating].[All]" allUniqueName="[Excel_jumia_dataset3].[Rating].[All]" dimensionUniqueName="[Excel_jumia_dataset3]" displayFolder="" count="0"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0" memberValueDatatype="130" unbalanced="0"/>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iew]" caption="Sum of Review" measure="1" displayFolder="" measureGroup="Excel_jumia_dataset3"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Excel_jumia_dataset3"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Discount]" caption="Count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Excel_jumia_dataset3" count="0" hidden="1">
      <extLst>
        <ext xmlns:x15="http://schemas.microsoft.com/office/spreadsheetml/2010/11/main" uri="{B97F6D7D-B522-45F9-BDA1-12C45D357490}">
          <x15:cacheHierarchy aggregatedColumn="9"/>
        </ext>
      </extLst>
    </cacheHierarchy>
    <cacheHierarchy uniqueName="[Measures].[Sum of Current Price]" caption="Sum of Current Price" measure="1" displayFolder="" measureGroup="Excel_jumia_dataset3" count="0" hidden="1">
      <extLst>
        <ext xmlns:x15="http://schemas.microsoft.com/office/spreadsheetml/2010/11/main" uri="{B97F6D7D-B522-45F9-BDA1-12C45D357490}">
          <x15:cacheHierarchy aggregatedColumn="1"/>
        </ext>
      </extLst>
    </cacheHierarchy>
    <cacheHierarchy uniqueName="[Measures].[Average of Current Price]" caption="Average of Current Price" measure="1" displayFolder="" measureGroup="Excel_jumia_dataset3" count="0" hidden="1">
      <extLst>
        <ext xmlns:x15="http://schemas.microsoft.com/office/spreadsheetml/2010/11/main" uri="{B97F6D7D-B522-45F9-BDA1-12C45D357490}">
          <x15:cacheHierarchy aggregatedColumn="1"/>
        </ext>
      </extLst>
    </cacheHierarchy>
  </cacheHierarchies>
  <kpis count="0"/>
  <dimensions count="2">
    <dimension name="Excel_jumia_dataset3" uniqueName="[Excel_jumia_dataset3]" caption="Excel_jumia_dataset3"/>
    <dimension measure="1" name="Measures" uniqueName="[Measures]" caption="Measures"/>
  </dimensions>
  <measureGroups count="1">
    <measureGroup name="Excel_jumia_dataset3" caption="Excel_jumia_dataset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794072453704" backgroundQuery="1" createdVersion="8" refreshedVersion="8" minRefreshableVersion="3" recordCount="0" supportSubquery="1" supportAdvancedDrill="1" xr:uid="{F54B1FDA-D67A-43EB-A97C-9FD491BABA16}">
  <cacheSource type="external" connectionId="3"/>
  <cacheFields count="2">
    <cacheField name="[Excel_jumia_dataset3].[Rating Category].[Rating Category]" caption="Rating Category" numFmtId="0" hierarchy="9" level="1">
      <sharedItems count="4">
        <s v="Average"/>
        <s v="Excellent"/>
        <s v="Not Provided"/>
        <s v="Poor"/>
      </sharedItems>
    </cacheField>
    <cacheField name="[Measures].[Count of Product]" caption="Count of Product" numFmtId="0" hierarchy="12" level="32767"/>
  </cacheFields>
  <cacheHierarchies count="21">
    <cacheHierarchy uniqueName="[Excel_jumia_dataset3].[Product]" caption="Product" attribute="1" defaultMemberUniqueName="[Excel_jumia_dataset3].[Product].[All]" allUniqueName="[Excel_jumia_dataset3].[Product].[All]" dimensionUniqueName="[Excel_jumia_dataset3]" displayFolder="" count="2"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2" memberValueDatatype="20" unbalanced="0"/>
    <cacheHierarchy uniqueName="[Excel_jumia_dataset3].[Old Price]" caption="Old Price" attribute="1" defaultMemberUniqueName="[Excel_jumia_dataset3].[Old Price].[All]" allUniqueName="[Excel_jumia_dataset3].[Old Price].[All]" dimensionUniqueName="[Excel_jumia_dataset3]" displayFolder="" count="2"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2" memberValueDatatype="130" unbalanced="0"/>
    <cacheHierarchy uniqueName="[Excel_jumia_dataset3].[Discount Amount]" caption="Discount Amount" attribute="1" defaultMemberUniqueName="[Excel_jumia_dataset3].[Discount Amount].[All]" allUniqueName="[Excel_jumia_dataset3].[Discount Amount].[All]" dimensionUniqueName="[Excel_jumia_dataset3]" displayFolder="" count="2" memberValueDatatype="20" unbalanced="0"/>
    <cacheHierarchy uniqueName="[Excel_jumia_dataset3].[Discount]" caption="Discount" attribute="1" defaultMemberUniqueName="[Excel_jumia_dataset3].[Discount].[All]" allUniqueName="[Excel_jumia_dataset3].[Discount].[All]" dimensionUniqueName="[Excel_jumia_dataset3]" displayFolder="" count="2"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cacheHierarchy uniqueName="[Excel_jumia_dataset3].[Review]" caption="Review" attribute="1" defaultMemberUniqueName="[Excel_jumia_dataset3].[Review].[All]" allUniqueName="[Excel_jumia_dataset3].[Review].[All]" dimensionUniqueName="[Excel_jumia_dataset3]" displayFolder="" count="2" memberValueDatatype="20" unbalanced="0"/>
    <cacheHierarchy uniqueName="[Excel_jumia_dataset3].[Rating]" caption="Rating" attribute="1" defaultMemberUniqueName="[Excel_jumia_dataset3].[Rating].[All]" allUniqueName="[Excel_jumia_dataset3].[Rating].[All]" dimensionUniqueName="[Excel_jumia_dataset3]" displayFolder="" count="2"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2" memberValueDatatype="130" unbalanced="0">
      <fieldsUsage count="2">
        <fieldUsage x="-1"/>
        <fieldUsage x="0"/>
      </fieldsUsage>
    </cacheHierarchy>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iew]" caption="Sum of Review" measure="1" displayFolder="" measureGroup="Excel_jumia_dataset3"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Excel_jumia_dataset3"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Discount]" caption="Count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Excel_jumia_dataset3" count="0" hidden="1">
      <extLst>
        <ext xmlns:x15="http://schemas.microsoft.com/office/spreadsheetml/2010/11/main" uri="{B97F6D7D-B522-45F9-BDA1-12C45D357490}">
          <x15:cacheHierarchy aggregatedColumn="9"/>
        </ext>
      </extLst>
    </cacheHierarchy>
    <cacheHierarchy uniqueName="[Measures].[Sum of Current Price]" caption="Sum of Current Price" measure="1" displayFolder="" measureGroup="Excel_jumia_dataset3" count="0" hidden="1">
      <extLst>
        <ext xmlns:x15="http://schemas.microsoft.com/office/spreadsheetml/2010/11/main" uri="{B97F6D7D-B522-45F9-BDA1-12C45D357490}">
          <x15:cacheHierarchy aggregatedColumn="1"/>
        </ext>
      </extLst>
    </cacheHierarchy>
    <cacheHierarchy uniqueName="[Measures].[Average of Current Price]" caption="Average of Current Price" measure="1" displayFolder="" measureGroup="Excel_jumia_dataset3" count="0" hidden="1">
      <extLst>
        <ext xmlns:x15="http://schemas.microsoft.com/office/spreadsheetml/2010/11/main" uri="{B97F6D7D-B522-45F9-BDA1-12C45D357490}">
          <x15:cacheHierarchy aggregatedColumn="1"/>
        </ext>
      </extLst>
    </cacheHierarchy>
  </cacheHierarchies>
  <kpis count="0"/>
  <dimensions count="2">
    <dimension name="Excel_jumia_dataset3" uniqueName="[Excel_jumia_dataset3]" caption="Excel_jumia_dataset3"/>
    <dimension measure="1" name="Measures" uniqueName="[Measures]" caption="Measures"/>
  </dimensions>
  <measureGroups count="1">
    <measureGroup name="Excel_jumia_dataset3" caption="Excel_jumia_dataset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802195486111" backgroundQuery="1" createdVersion="8" refreshedVersion="8" minRefreshableVersion="3" recordCount="0" supportSubquery="1" supportAdvancedDrill="1" xr:uid="{40086454-0850-435C-ABD8-800510FA14CE}">
  <cacheSource type="external" connectionId="3"/>
  <cacheFields count="3">
    <cacheField name="[Excel_jumia_dataset3].[Discount Category].[Discount Category]" caption="Discount Category" numFmtId="0" hierarchy="6" level="1">
      <sharedItems count="3">
        <s v="High Discount"/>
        <s v="Low Discount"/>
        <s v="Medium Discount"/>
      </sharedItems>
    </cacheField>
    <cacheField name="[Measures].[Sum of Review]" caption="Sum of Review" numFmtId="0" hierarchy="13" level="32767"/>
    <cacheField name="[Excel_jumia_dataset3].[Price Category].[Price Category]" caption="Price Category" numFmtId="0" hierarchy="3" level="1">
      <sharedItems containsSemiMixedTypes="0" containsNonDate="0" containsString="0"/>
    </cacheField>
  </cacheFields>
  <cacheHierarchies count="21">
    <cacheHierarchy uniqueName="[Excel_jumia_dataset3].[Product]" caption="Product" attribute="1" defaultMemberUniqueName="[Excel_jumia_dataset3].[Product].[All]" allUniqueName="[Excel_jumia_dataset3].[Product].[All]" dimensionUniqueName="[Excel_jumia_dataset3]" displayFolder="" count="0"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0" memberValueDatatype="20" unbalanced="0"/>
    <cacheHierarchy uniqueName="[Excel_jumia_dataset3].[Old Price]" caption="Old Price" attribute="1" defaultMemberUniqueName="[Excel_jumia_dataset3].[Old Price].[All]" allUniqueName="[Excel_jumia_dataset3].[Old Price].[All]" dimensionUniqueName="[Excel_jumia_dataset3]" displayFolder="" count="0"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2" memberValueDatatype="130" unbalanced="0">
      <fieldsUsage count="2">
        <fieldUsage x="-1"/>
        <fieldUsage x="2"/>
      </fieldsUsage>
    </cacheHierarchy>
    <cacheHierarchy uniqueName="[Excel_jumia_dataset3].[Discount Amount]" caption="Discount Amount" attribute="1" defaultMemberUniqueName="[Excel_jumia_dataset3].[Discount Amount].[All]" allUniqueName="[Excel_jumia_dataset3].[Discount Amount].[All]" dimensionUniqueName="[Excel_jumia_dataset3]" displayFolder="" count="0" memberValueDatatype="20" unbalanced="0"/>
    <cacheHierarchy uniqueName="[Excel_jumia_dataset3].[Discount]" caption="Discount" attribute="1" defaultMemberUniqueName="[Excel_jumia_dataset3].[Discount].[All]" allUniqueName="[Excel_jumia_dataset3].[Discount].[All]" dimensionUniqueName="[Excel_jumia_dataset3]" displayFolder="" count="0"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fieldsUsage count="2">
        <fieldUsage x="-1"/>
        <fieldUsage x="0"/>
      </fieldsUsage>
    </cacheHierarchy>
    <cacheHierarchy uniqueName="[Excel_jumia_dataset3].[Review]" caption="Review" attribute="1" defaultMemberUniqueName="[Excel_jumia_dataset3].[Review].[All]" allUniqueName="[Excel_jumia_dataset3].[Review].[All]" dimensionUniqueName="[Excel_jumia_dataset3]" displayFolder="" count="0" memberValueDatatype="20" unbalanced="0"/>
    <cacheHierarchy uniqueName="[Excel_jumia_dataset3].[Rating]" caption="Rating" attribute="1" defaultMemberUniqueName="[Excel_jumia_dataset3].[Rating].[All]" allUniqueName="[Excel_jumia_dataset3].[Rating].[All]" dimensionUniqueName="[Excel_jumia_dataset3]" displayFolder="" count="0"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0" memberValueDatatype="130" unbalanced="0"/>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hidden="1">
      <extLst>
        <ext xmlns:x15="http://schemas.microsoft.com/office/spreadsheetml/2010/11/main" uri="{B97F6D7D-B522-45F9-BDA1-12C45D357490}">
          <x15:cacheHierarchy aggregatedColumn="0"/>
        </ext>
      </extLst>
    </cacheHierarchy>
    <cacheHierarchy uniqueName="[Measures].[Sum of Review]" caption="Sum of Review" measure="1" displayFolder="" measureGroup="Excel_jumia_dataset3"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Rating]" caption="Count of Rating" measure="1" displayFolder="" measureGroup="Excel_jumia_dataset3"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Discount]" caption="Count of Discount" measure="1" displayFolder="" measureGroup="Excel_jumia_dataset3" count="0" hidden="1">
      <extLst>
        <ext xmlns:x15="http://schemas.microsoft.com/office/spreadsheetml/2010/11/main" uri="{B97F6D7D-B522-45F9-BDA1-12C45D357490}">
          <x15:cacheHierarchy aggregatedColumn="5"/>
        </ext>
      </extLst>
    </cacheHierarchy>
    <cacheHierarchy uniqueName="[Measures].[Count of Rating Category]" caption="Count of Rating Category" measure="1" displayFolder="" measureGroup="Excel_jumia_dataset3" count="0" hidden="1">
      <extLst>
        <ext xmlns:x15="http://schemas.microsoft.com/office/spreadsheetml/2010/11/main" uri="{B97F6D7D-B522-45F9-BDA1-12C45D357490}">
          <x15:cacheHierarchy aggregatedColumn="9"/>
        </ext>
      </extLst>
    </cacheHierarchy>
    <cacheHierarchy uniqueName="[Measures].[Sum of Current Price]" caption="Sum of Current Price" measure="1" displayFolder="" measureGroup="Excel_jumia_dataset3" count="0" hidden="1">
      <extLst>
        <ext xmlns:x15="http://schemas.microsoft.com/office/spreadsheetml/2010/11/main" uri="{B97F6D7D-B522-45F9-BDA1-12C45D357490}">
          <x15:cacheHierarchy aggregatedColumn="1"/>
        </ext>
      </extLst>
    </cacheHierarchy>
    <cacheHierarchy uniqueName="[Measures].[Average of Current Price]" caption="Average of Current Price" measure="1" displayFolder="" measureGroup="Excel_jumia_dataset3" count="0" hidden="1">
      <extLst>
        <ext xmlns:x15="http://schemas.microsoft.com/office/spreadsheetml/2010/11/main" uri="{B97F6D7D-B522-45F9-BDA1-12C45D357490}">
          <x15:cacheHierarchy aggregatedColumn="1"/>
        </ext>
      </extLst>
    </cacheHierarchy>
  </cacheHierarchies>
  <kpis count="0"/>
  <dimensions count="2">
    <dimension name="Excel_jumia_dataset3" uniqueName="[Excel_jumia_dataset3]" caption="Excel_jumia_dataset3"/>
    <dimension measure="1" name="Measures" uniqueName="[Measures]" caption="Measures"/>
  </dimensions>
  <measureGroups count="1">
    <measureGroup name="Excel_jumia_dataset3" caption="Excel_jumia_dataset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a Muhoro" refreshedDate="46270.716313888886" backgroundQuery="1" createdVersion="3" refreshedVersion="8" minRefreshableVersion="3" recordCount="0" supportSubquery="1" supportAdvancedDrill="1" xr:uid="{C27E8F0C-19A7-43BC-94C9-06421B10E3A4}">
  <cacheSource type="external" connectionId="3">
    <extLst>
      <ext xmlns:x14="http://schemas.microsoft.com/office/spreadsheetml/2009/9/main" uri="{F057638F-6D5F-4e77-A914-E7F072B9BCA8}">
        <x14:sourceConnection name="ThisWorkbookDataModel"/>
      </ext>
    </extLst>
  </cacheSource>
  <cacheFields count="0"/>
  <cacheHierarchies count="13">
    <cacheHierarchy uniqueName="[Excel_jumia_dataset3].[Product]" caption="Product" attribute="1" defaultMemberUniqueName="[Excel_jumia_dataset3].[Product].[All]" allUniqueName="[Excel_jumia_dataset3].[Product].[All]" dimensionUniqueName="[Excel_jumia_dataset3]" displayFolder="" count="0" memberValueDatatype="130" unbalanced="0"/>
    <cacheHierarchy uniqueName="[Excel_jumia_dataset3].[Current Price]" caption="Current Price" attribute="1" defaultMemberUniqueName="[Excel_jumia_dataset3].[Current Price].[All]" allUniqueName="[Excel_jumia_dataset3].[Current Price].[All]" dimensionUniqueName="[Excel_jumia_dataset3]" displayFolder="" count="0" memberValueDatatype="20" unbalanced="0"/>
    <cacheHierarchy uniqueName="[Excel_jumia_dataset3].[Old Price]" caption="Old Price" attribute="1" defaultMemberUniqueName="[Excel_jumia_dataset3].[Old Price].[All]" allUniqueName="[Excel_jumia_dataset3].[Old Price].[All]" dimensionUniqueName="[Excel_jumia_dataset3]" displayFolder="" count="0" memberValueDatatype="20" unbalanced="0"/>
    <cacheHierarchy uniqueName="[Excel_jumia_dataset3].[Price Category]" caption="Price Category" attribute="1" defaultMemberUniqueName="[Excel_jumia_dataset3].[Price Category].[All]" allUniqueName="[Excel_jumia_dataset3].[Price Category].[All]" dimensionUniqueName="[Excel_jumia_dataset3]" displayFolder="" count="2" memberValueDatatype="130" unbalanced="0"/>
    <cacheHierarchy uniqueName="[Excel_jumia_dataset3].[Discount Amount]" caption="Discount Amount" attribute="1" defaultMemberUniqueName="[Excel_jumia_dataset3].[Discount Amount].[All]" allUniqueName="[Excel_jumia_dataset3].[Discount Amount].[All]" dimensionUniqueName="[Excel_jumia_dataset3]" displayFolder="" count="0" memberValueDatatype="20" unbalanced="0"/>
    <cacheHierarchy uniqueName="[Excel_jumia_dataset3].[Discount]" caption="Discount" attribute="1" defaultMemberUniqueName="[Excel_jumia_dataset3].[Discount].[All]" allUniqueName="[Excel_jumia_dataset3].[Discount].[All]" dimensionUniqueName="[Excel_jumia_dataset3]" displayFolder="" count="0" memberValueDatatype="5" unbalanced="0"/>
    <cacheHierarchy uniqueName="[Excel_jumia_dataset3].[Discount Category]" caption="Discount Category" attribute="1" defaultMemberUniqueName="[Excel_jumia_dataset3].[Discount Category].[All]" allUniqueName="[Excel_jumia_dataset3].[Discount Category].[All]" dimensionUniqueName="[Excel_jumia_dataset3]" displayFolder="" count="2" memberValueDatatype="130" unbalanced="0"/>
    <cacheHierarchy uniqueName="[Excel_jumia_dataset3].[Review]" caption="Review" attribute="1" defaultMemberUniqueName="[Excel_jumia_dataset3].[Review].[All]" allUniqueName="[Excel_jumia_dataset3].[Review].[All]" dimensionUniqueName="[Excel_jumia_dataset3]" displayFolder="" count="2" memberValueDatatype="20" unbalanced="0"/>
    <cacheHierarchy uniqueName="[Excel_jumia_dataset3].[Rating]" caption="Rating" attribute="1" defaultMemberUniqueName="[Excel_jumia_dataset3].[Rating].[All]" allUniqueName="[Excel_jumia_dataset3].[Rating].[All]" dimensionUniqueName="[Excel_jumia_dataset3]" displayFolder="" count="0" memberValueDatatype="130" unbalanced="0"/>
    <cacheHierarchy uniqueName="[Excel_jumia_dataset3].[Rating Category]" caption="Rating Category" attribute="1" defaultMemberUniqueName="[Excel_jumia_dataset3].[Rating Category].[All]" allUniqueName="[Excel_jumia_dataset3].[Rating Category].[All]" dimensionUniqueName="[Excel_jumia_dataset3]" displayFolder="" count="2" memberValueDatatype="130" unbalanced="0"/>
    <cacheHierarchy uniqueName="[Measures].[__XL_Count Excel_jumia_dataset3]" caption="__XL_Count Excel_jumia_dataset3" measure="1" displayFolder="" measureGroup="Excel_jumia_dataset3" count="0" hidden="1"/>
    <cacheHierarchy uniqueName="[Measures].[__No measures defined]" caption="__No measures defined" measure="1" displayFolder="" count="0" hidden="1"/>
    <cacheHierarchy uniqueName="[Measures].[Count of Product]" caption="Count of Product" measure="1" displayFolder="" measureGroup="Excel_jumia_dataset3"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04761037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n v="575"/>
    <x v="0"/>
    <x v="0"/>
    <x v="0"/>
    <x v="0"/>
    <x v="0"/>
  </r>
  <r>
    <x v="1"/>
    <n v="527"/>
    <n v="999"/>
    <x v="0"/>
    <n v="472"/>
    <x v="1"/>
    <x v="1"/>
    <x v="1"/>
    <x v="1"/>
    <x v="1"/>
  </r>
  <r>
    <x v="2"/>
    <n v="2199"/>
    <n v="2923"/>
    <x v="1"/>
    <n v="724"/>
    <x v="2"/>
    <x v="0"/>
    <x v="2"/>
    <x v="2"/>
    <x v="0"/>
  </r>
  <r>
    <x v="3"/>
    <n v="1580"/>
    <n v="2499"/>
    <x v="0"/>
    <n v="919"/>
    <x v="3"/>
    <x v="0"/>
    <x v="3"/>
    <x v="3"/>
    <x v="0"/>
  </r>
  <r>
    <x v="4"/>
    <n v="1740"/>
    <n v="2356"/>
    <x v="1"/>
    <n v="616"/>
    <x v="4"/>
    <x v="0"/>
    <x v="4"/>
    <x v="4"/>
    <x v="0"/>
  </r>
  <r>
    <x v="5"/>
    <n v="2999"/>
    <n v="3290"/>
    <x v="1"/>
    <n v="291"/>
    <x v="5"/>
    <x v="2"/>
    <x v="5"/>
    <x v="5"/>
    <x v="2"/>
  </r>
  <r>
    <x v="6"/>
    <n v="2319"/>
    <n v="3032"/>
    <x v="1"/>
    <n v="713"/>
    <x v="6"/>
    <x v="0"/>
    <x v="6"/>
    <x v="2"/>
    <x v="0"/>
  </r>
  <r>
    <x v="7"/>
    <n v="988"/>
    <n v="1580"/>
    <x v="0"/>
    <n v="592"/>
    <x v="3"/>
    <x v="0"/>
    <x v="0"/>
    <x v="5"/>
    <x v="2"/>
  </r>
  <r>
    <x v="8"/>
    <n v="1274"/>
    <n v="2800"/>
    <x v="0"/>
    <n v="1526"/>
    <x v="7"/>
    <x v="1"/>
    <x v="4"/>
    <x v="4"/>
    <x v="0"/>
  </r>
  <r>
    <x v="9"/>
    <n v="1600"/>
    <n v="2929"/>
    <x v="0"/>
    <n v="1329"/>
    <x v="8"/>
    <x v="1"/>
    <x v="4"/>
    <x v="6"/>
    <x v="2"/>
  </r>
  <r>
    <x v="10"/>
    <n v="799"/>
    <n v="999"/>
    <x v="0"/>
    <n v="200"/>
    <x v="9"/>
    <x v="0"/>
    <x v="7"/>
    <x v="1"/>
    <x v="1"/>
  </r>
  <r>
    <x v="11"/>
    <n v="990"/>
    <n v="1500"/>
    <x v="0"/>
    <n v="510"/>
    <x v="10"/>
    <x v="0"/>
    <x v="8"/>
    <x v="3"/>
    <x v="0"/>
  </r>
  <r>
    <x v="12"/>
    <n v="552"/>
    <n v="1035"/>
    <x v="0"/>
    <n v="483"/>
    <x v="1"/>
    <x v="1"/>
    <x v="7"/>
    <x v="4"/>
    <x v="0"/>
  </r>
  <r>
    <x v="13"/>
    <n v="501"/>
    <n v="860"/>
    <x v="0"/>
    <n v="359"/>
    <x v="11"/>
    <x v="1"/>
    <x v="9"/>
    <x v="0"/>
    <x v="0"/>
  </r>
  <r>
    <x v="14"/>
    <n v="1680"/>
    <n v="2499"/>
    <x v="1"/>
    <n v="819"/>
    <x v="12"/>
    <x v="0"/>
    <x v="10"/>
    <x v="7"/>
    <x v="1"/>
  </r>
  <r>
    <x v="15"/>
    <n v="332"/>
    <n v="684"/>
    <x v="2"/>
    <n v="352"/>
    <x v="13"/>
    <x v="1"/>
    <x v="0"/>
    <x v="8"/>
    <x v="0"/>
  </r>
  <r>
    <x v="16"/>
    <n v="195"/>
    <n v="360"/>
    <x v="2"/>
    <n v="165"/>
    <x v="14"/>
    <x v="1"/>
    <x v="0"/>
    <x v="8"/>
    <x v="0"/>
  </r>
  <r>
    <x v="17"/>
    <n v="2025"/>
    <n v="3971"/>
    <x v="1"/>
    <n v="1946"/>
    <x v="15"/>
    <x v="1"/>
    <x v="11"/>
    <x v="8"/>
    <x v="0"/>
  </r>
  <r>
    <x v="18"/>
    <n v="2999"/>
    <n v="3699"/>
    <x v="1"/>
    <n v="700"/>
    <x v="16"/>
    <x v="2"/>
    <x v="4"/>
    <x v="2"/>
    <x v="0"/>
  </r>
  <r>
    <x v="19"/>
    <n v="998"/>
    <n v="1966"/>
    <x v="0"/>
    <n v="968"/>
    <x v="15"/>
    <x v="1"/>
    <x v="12"/>
    <x v="2"/>
    <x v="0"/>
  </r>
  <r>
    <x v="20"/>
    <n v="38"/>
    <n v="80"/>
    <x v="2"/>
    <n v="42"/>
    <x v="17"/>
    <x v="1"/>
    <x v="13"/>
    <x v="9"/>
    <x v="2"/>
  </r>
  <r>
    <x v="21"/>
    <n v="1860"/>
    <n v="3220"/>
    <x v="1"/>
    <n v="1360"/>
    <x v="11"/>
    <x v="1"/>
    <x v="14"/>
    <x v="10"/>
    <x v="3"/>
  </r>
  <r>
    <x v="22"/>
    <n v="880"/>
    <n v="1350"/>
    <x v="0"/>
    <n v="470"/>
    <x v="18"/>
    <x v="0"/>
    <x v="9"/>
    <x v="5"/>
    <x v="2"/>
  </r>
  <r>
    <x v="23"/>
    <n v="1650"/>
    <n v="2150"/>
    <x v="0"/>
    <n v="500"/>
    <x v="19"/>
    <x v="0"/>
    <x v="1"/>
    <x v="11"/>
    <x v="1"/>
  </r>
  <r>
    <x v="24"/>
    <n v="2048"/>
    <n v="4500"/>
    <x v="1"/>
    <n v="2452"/>
    <x v="20"/>
    <x v="1"/>
    <x v="3"/>
    <x v="12"/>
    <x v="1"/>
  </r>
  <r>
    <x v="25"/>
    <n v="420"/>
    <n v="647"/>
    <x v="2"/>
    <n v="227"/>
    <x v="18"/>
    <x v="0"/>
    <x v="15"/>
    <x v="2"/>
    <x v="0"/>
  </r>
  <r>
    <x v="26"/>
    <n v="2880"/>
    <n v="3520"/>
    <x v="1"/>
    <n v="640"/>
    <x v="21"/>
    <x v="2"/>
    <x v="7"/>
    <x v="6"/>
    <x v="2"/>
  </r>
  <r>
    <x v="27"/>
    <n v="1350"/>
    <n v="1990"/>
    <x v="0"/>
    <n v="640"/>
    <x v="22"/>
    <x v="0"/>
    <x v="13"/>
    <x v="6"/>
    <x v="2"/>
  </r>
  <r>
    <x v="28"/>
    <n v="1758"/>
    <n v="2499"/>
    <x v="1"/>
    <n v="741"/>
    <x v="23"/>
    <x v="0"/>
    <x v="16"/>
    <x v="1"/>
    <x v="1"/>
  </r>
  <r>
    <x v="29"/>
    <n v="2200"/>
    <n v="4080"/>
    <x v="1"/>
    <n v="1880"/>
    <x v="14"/>
    <x v="1"/>
    <x v="14"/>
    <x v="10"/>
    <x v="3"/>
  </r>
  <r>
    <x v="30"/>
    <n v="185"/>
    <n v="382"/>
    <x v="2"/>
    <n v="197"/>
    <x v="24"/>
    <x v="1"/>
    <x v="10"/>
    <x v="12"/>
    <x v="1"/>
  </r>
  <r>
    <x v="31"/>
    <n v="980"/>
    <n v="1490"/>
    <x v="0"/>
    <n v="510"/>
    <x v="10"/>
    <x v="0"/>
    <x v="7"/>
    <x v="3"/>
    <x v="0"/>
  </r>
  <r>
    <x v="32"/>
    <n v="1820"/>
    <n v="3490"/>
    <x v="1"/>
    <n v="1670"/>
    <x v="25"/>
    <x v="1"/>
    <x v="10"/>
    <x v="12"/>
    <x v="1"/>
  </r>
  <r>
    <x v="33"/>
    <n v="1940"/>
    <n v="2650"/>
    <x v="1"/>
    <n v="710"/>
    <x v="26"/>
    <x v="0"/>
    <x v="16"/>
    <x v="3"/>
    <x v="0"/>
  </r>
  <r>
    <x v="34"/>
    <n v="1980"/>
    <n v="2699"/>
    <x v="1"/>
    <n v="719"/>
    <x v="26"/>
    <x v="0"/>
    <x v="17"/>
    <x v="0"/>
    <x v="0"/>
  </r>
  <r>
    <x v="35"/>
    <n v="1620"/>
    <n v="2690"/>
    <x v="0"/>
    <n v="1070"/>
    <x v="27"/>
    <x v="0"/>
    <x v="18"/>
    <x v="8"/>
    <x v="0"/>
  </r>
  <r>
    <x v="36"/>
    <n v="171"/>
    <n v="360"/>
    <x v="2"/>
    <n v="189"/>
    <x v="17"/>
    <x v="1"/>
    <x v="0"/>
    <x v="8"/>
    <x v="0"/>
  </r>
  <r>
    <x v="37"/>
    <n v="389"/>
    <n v="656"/>
    <x v="2"/>
    <n v="267"/>
    <x v="28"/>
    <x v="1"/>
    <x v="19"/>
    <x v="12"/>
    <x v="1"/>
  </r>
  <r>
    <x v="38"/>
    <n v="1800"/>
    <n v="2700"/>
    <x v="1"/>
    <n v="900"/>
    <x v="0"/>
    <x v="0"/>
    <x v="0"/>
    <x v="0"/>
    <x v="0"/>
  </r>
  <r>
    <x v="39"/>
    <n v="2750"/>
    <n v="4471"/>
    <x v="1"/>
    <n v="1721"/>
    <x v="0"/>
    <x v="0"/>
    <x v="14"/>
    <x v="10"/>
    <x v="3"/>
  </r>
  <r>
    <x v="40"/>
    <n v="475"/>
    <n v="931"/>
    <x v="2"/>
    <n v="456"/>
    <x v="15"/>
    <x v="1"/>
    <x v="14"/>
    <x v="10"/>
    <x v="3"/>
  </r>
  <r>
    <x v="41"/>
    <n v="238"/>
    <n v="476"/>
    <x v="2"/>
    <n v="238"/>
    <x v="29"/>
    <x v="1"/>
    <x v="14"/>
    <x v="10"/>
    <x v="3"/>
  </r>
  <r>
    <x v="42"/>
    <n v="610"/>
    <n v="1060"/>
    <x v="0"/>
    <n v="450"/>
    <x v="11"/>
    <x v="1"/>
    <x v="14"/>
    <x v="10"/>
    <x v="3"/>
  </r>
  <r>
    <x v="43"/>
    <n v="2132"/>
    <n v="2169"/>
    <x v="1"/>
    <n v="37"/>
    <x v="30"/>
    <x v="2"/>
    <x v="14"/>
    <x v="10"/>
    <x v="3"/>
  </r>
  <r>
    <x v="44"/>
    <n v="999"/>
    <n v="2000"/>
    <x v="0"/>
    <n v="1001"/>
    <x v="29"/>
    <x v="1"/>
    <x v="14"/>
    <x v="10"/>
    <x v="3"/>
  </r>
  <r>
    <x v="45"/>
    <n v="1190"/>
    <n v="1785"/>
    <x v="0"/>
    <n v="595"/>
    <x v="12"/>
    <x v="0"/>
    <x v="14"/>
    <x v="10"/>
    <x v="3"/>
  </r>
  <r>
    <x v="46"/>
    <n v="671"/>
    <n v="1316"/>
    <x v="0"/>
    <n v="645"/>
    <x v="15"/>
    <x v="1"/>
    <x v="14"/>
    <x v="10"/>
    <x v="3"/>
  </r>
  <r>
    <x v="47"/>
    <n v="1200"/>
    <n v="1950"/>
    <x v="0"/>
    <n v="750"/>
    <x v="0"/>
    <x v="0"/>
    <x v="14"/>
    <x v="10"/>
    <x v="3"/>
  </r>
  <r>
    <x v="48"/>
    <n v="199"/>
    <n v="504"/>
    <x v="2"/>
    <n v="305"/>
    <x v="31"/>
    <x v="1"/>
    <x v="14"/>
    <x v="10"/>
    <x v="3"/>
  </r>
  <r>
    <x v="49"/>
    <n v="299"/>
    <n v="600"/>
    <x v="2"/>
    <n v="301"/>
    <x v="29"/>
    <x v="1"/>
    <x v="14"/>
    <x v="10"/>
    <x v="3"/>
  </r>
  <r>
    <x v="50"/>
    <n v="1660"/>
    <n v="1699"/>
    <x v="0"/>
    <n v="39"/>
    <x v="30"/>
    <x v="2"/>
    <x v="14"/>
    <x v="10"/>
    <x v="3"/>
  </r>
  <r>
    <x v="51"/>
    <n v="299"/>
    <n v="384"/>
    <x v="2"/>
    <n v="85"/>
    <x v="32"/>
    <x v="0"/>
    <x v="14"/>
    <x v="10"/>
    <x v="3"/>
  </r>
  <r>
    <x v="52"/>
    <n v="1459"/>
    <n v="1499"/>
    <x v="0"/>
    <n v="40"/>
    <x v="33"/>
    <x v="2"/>
    <x v="14"/>
    <x v="10"/>
    <x v="3"/>
  </r>
  <r>
    <x v="53"/>
    <n v="799"/>
    <n v="1343"/>
    <x v="0"/>
    <n v="544"/>
    <x v="28"/>
    <x v="1"/>
    <x v="14"/>
    <x v="10"/>
    <x v="3"/>
  </r>
  <r>
    <x v="54"/>
    <n v="499"/>
    <n v="900"/>
    <x v="0"/>
    <n v="401"/>
    <x v="8"/>
    <x v="1"/>
    <x v="14"/>
    <x v="10"/>
    <x v="3"/>
  </r>
  <r>
    <x v="55"/>
    <n v="699"/>
    <n v="1343"/>
    <x v="0"/>
    <n v="644"/>
    <x v="25"/>
    <x v="1"/>
    <x v="14"/>
    <x v="10"/>
    <x v="3"/>
  </r>
  <r>
    <x v="56"/>
    <n v="799"/>
    <n v="1567"/>
    <x v="0"/>
    <n v="768"/>
    <x v="15"/>
    <x v="1"/>
    <x v="14"/>
    <x v="10"/>
    <x v="3"/>
  </r>
  <r>
    <x v="57"/>
    <n v="2799"/>
    <n v="3810"/>
    <x v="1"/>
    <n v="1011"/>
    <x v="26"/>
    <x v="0"/>
    <x v="14"/>
    <x v="10"/>
    <x v="3"/>
  </r>
  <r>
    <x v="54"/>
    <n v="399"/>
    <n v="896"/>
    <x v="2"/>
    <n v="497"/>
    <x v="7"/>
    <x v="1"/>
    <x v="14"/>
    <x v="10"/>
    <x v="3"/>
  </r>
  <r>
    <x v="58"/>
    <n v="2170"/>
    <n v="2500"/>
    <x v="1"/>
    <n v="330"/>
    <x v="34"/>
    <x v="2"/>
    <x v="9"/>
    <x v="13"/>
    <x v="4"/>
  </r>
  <r>
    <x v="59"/>
    <n v="458"/>
    <n v="986"/>
    <x v="2"/>
    <n v="528"/>
    <x v="20"/>
    <x v="1"/>
    <x v="20"/>
    <x v="14"/>
    <x v="2"/>
  </r>
  <r>
    <x v="60"/>
    <n v="2115"/>
    <n v="4700"/>
    <x v="1"/>
    <n v="2585"/>
    <x v="7"/>
    <x v="1"/>
    <x v="13"/>
    <x v="15"/>
    <x v="4"/>
  </r>
  <r>
    <x v="61"/>
    <n v="445"/>
    <n v="873"/>
    <x v="2"/>
    <n v="428"/>
    <x v="15"/>
    <x v="1"/>
    <x v="21"/>
    <x v="16"/>
    <x v="4"/>
  </r>
  <r>
    <x v="62"/>
    <n v="325"/>
    <n v="680"/>
    <x v="2"/>
    <n v="355"/>
    <x v="24"/>
    <x v="1"/>
    <x v="5"/>
    <x v="17"/>
    <x v="4"/>
  </r>
  <r>
    <x v="63"/>
    <n v="1220"/>
    <n v="1555"/>
    <x v="0"/>
    <n v="335"/>
    <x v="32"/>
    <x v="0"/>
    <x v="22"/>
    <x v="18"/>
    <x v="4"/>
  </r>
  <r>
    <x v="64"/>
    <n v="990"/>
    <n v="1814"/>
    <x v="0"/>
    <n v="824"/>
    <x v="8"/>
    <x v="1"/>
    <x v="9"/>
    <x v="19"/>
    <x v="4"/>
  </r>
  <r>
    <x v="65"/>
    <n v="1000"/>
    <n v="2000"/>
    <x v="0"/>
    <n v="1000"/>
    <x v="29"/>
    <x v="1"/>
    <x v="3"/>
    <x v="20"/>
    <x v="4"/>
  </r>
  <r>
    <x v="66"/>
    <n v="3750"/>
    <n v="6143"/>
    <x v="1"/>
    <n v="2393"/>
    <x v="35"/>
    <x v="0"/>
    <x v="4"/>
    <x v="14"/>
    <x v="2"/>
  </r>
  <r>
    <x v="67"/>
    <n v="382"/>
    <n v="700"/>
    <x v="2"/>
    <n v="318"/>
    <x v="8"/>
    <x v="1"/>
    <x v="23"/>
    <x v="21"/>
    <x v="4"/>
  </r>
  <r>
    <x v="68"/>
    <n v="2300"/>
    <n v="3240"/>
    <x v="1"/>
    <n v="940"/>
    <x v="36"/>
    <x v="0"/>
    <x v="4"/>
    <x v="14"/>
    <x v="2"/>
  </r>
  <r>
    <x v="69"/>
    <n v="345"/>
    <n v="602"/>
    <x v="2"/>
    <n v="257"/>
    <x v="37"/>
    <x v="1"/>
    <x v="9"/>
    <x v="20"/>
    <x v="4"/>
  </r>
  <r>
    <x v="70"/>
    <n v="509"/>
    <n v="899"/>
    <x v="0"/>
    <n v="390"/>
    <x v="37"/>
    <x v="1"/>
    <x v="4"/>
    <x v="14"/>
    <x v="2"/>
  </r>
  <r>
    <x v="71"/>
    <n v="968"/>
    <n v="1814"/>
    <x v="0"/>
    <n v="846"/>
    <x v="1"/>
    <x v="1"/>
    <x v="9"/>
    <x v="19"/>
    <x v="4"/>
  </r>
  <r>
    <x v="72"/>
    <n v="1570"/>
    <n v="2988"/>
    <x v="0"/>
    <n v="1418"/>
    <x v="1"/>
    <x v="1"/>
    <x v="3"/>
    <x v="15"/>
    <x v="4"/>
  </r>
  <r>
    <x v="73"/>
    <n v="790"/>
    <n v="1485"/>
    <x v="0"/>
    <n v="695"/>
    <x v="1"/>
    <x v="1"/>
    <x v="14"/>
    <x v="10"/>
    <x v="3"/>
  </r>
  <r>
    <x v="74"/>
    <n v="690"/>
    <n v="1200"/>
    <x v="0"/>
    <n v="510"/>
    <x v="37"/>
    <x v="1"/>
    <x v="14"/>
    <x v="10"/>
    <x v="3"/>
  </r>
  <r>
    <x v="75"/>
    <n v="1732"/>
    <n v="1799"/>
    <x v="1"/>
    <n v="67"/>
    <x v="38"/>
    <x v="2"/>
    <x v="14"/>
    <x v="10"/>
    <x v="3"/>
  </r>
  <r>
    <x v="76"/>
    <n v="230"/>
    <n v="450"/>
    <x v="2"/>
    <n v="220"/>
    <x v="15"/>
    <x v="1"/>
    <x v="14"/>
    <x v="10"/>
    <x v="3"/>
  </r>
  <r>
    <x v="77"/>
    <n v="1189"/>
    <n v="2199"/>
    <x v="0"/>
    <n v="1010"/>
    <x v="14"/>
    <x v="1"/>
    <x v="18"/>
    <x v="14"/>
    <x v="2"/>
  </r>
  <r>
    <x v="78"/>
    <n v="979"/>
    <n v="1920"/>
    <x v="0"/>
    <n v="941"/>
    <x v="15"/>
    <x v="1"/>
    <x v="18"/>
    <x v="8"/>
    <x v="0"/>
  </r>
  <r>
    <x v="79"/>
    <n v="1460"/>
    <n v="2290"/>
    <x v="0"/>
    <n v="830"/>
    <x v="39"/>
    <x v="0"/>
    <x v="14"/>
    <x v="10"/>
    <x v="3"/>
  </r>
  <r>
    <x v="80"/>
    <n v="1666"/>
    <n v="1699"/>
    <x v="0"/>
    <n v="33"/>
    <x v="30"/>
    <x v="2"/>
    <x v="14"/>
    <x v="10"/>
    <x v="3"/>
  </r>
  <r>
    <x v="81"/>
    <n v="330"/>
    <n v="647"/>
    <x v="2"/>
    <n v="317"/>
    <x v="15"/>
    <x v="1"/>
    <x v="18"/>
    <x v="5"/>
    <x v="2"/>
  </r>
  <r>
    <x v="48"/>
    <n v="176"/>
    <n v="345"/>
    <x v="2"/>
    <n v="169"/>
    <x v="15"/>
    <x v="1"/>
    <x v="14"/>
    <x v="10"/>
    <x v="3"/>
  </r>
  <r>
    <x v="82"/>
    <n v="1466"/>
    <n v="1699"/>
    <x v="0"/>
    <n v="233"/>
    <x v="40"/>
    <x v="2"/>
    <x v="14"/>
    <x v="10"/>
    <x v="3"/>
  </r>
  <r>
    <x v="83"/>
    <n v="274"/>
    <n v="537"/>
    <x v="2"/>
    <n v="263"/>
    <x v="15"/>
    <x v="1"/>
    <x v="14"/>
    <x v="10"/>
    <x v="3"/>
  </r>
  <r>
    <x v="84"/>
    <n v="799"/>
    <n v="900"/>
    <x v="0"/>
    <n v="101"/>
    <x v="41"/>
    <x v="2"/>
    <x v="14"/>
    <x v="10"/>
    <x v="3"/>
  </r>
  <r>
    <x v="56"/>
    <n v="657"/>
    <n v="1288"/>
    <x v="0"/>
    <n v="631"/>
    <x v="15"/>
    <x v="1"/>
    <x v="14"/>
    <x v="10"/>
    <x v="3"/>
  </r>
  <r>
    <x v="85"/>
    <n v="1468"/>
    <n v="1699"/>
    <x v="0"/>
    <n v="231"/>
    <x v="40"/>
    <x v="2"/>
    <x v="14"/>
    <x v="10"/>
    <x v="3"/>
  </r>
  <r>
    <x v="86"/>
    <n v="630"/>
    <n v="1100"/>
    <x v="0"/>
    <n v="470"/>
    <x v="37"/>
    <x v="1"/>
    <x v="14"/>
    <x v="10"/>
    <x v="3"/>
  </r>
  <r>
    <x v="87"/>
    <n v="850"/>
    <n v="1700"/>
    <x v="0"/>
    <n v="850"/>
    <x v="29"/>
    <x v="1"/>
    <x v="14"/>
    <x v="10"/>
    <x v="3"/>
  </r>
  <r>
    <x v="88"/>
    <n v="1300"/>
    <n v="2500"/>
    <x v="0"/>
    <n v="1200"/>
    <x v="25"/>
    <x v="1"/>
    <x v="14"/>
    <x v="10"/>
    <x v="3"/>
  </r>
  <r>
    <x v="89"/>
    <n v="105"/>
    <n v="200"/>
    <x v="2"/>
    <n v="95"/>
    <x v="25"/>
    <x v="1"/>
    <x v="14"/>
    <x v="10"/>
    <x v="3"/>
  </r>
  <r>
    <x v="90"/>
    <n v="899"/>
    <n v="1699"/>
    <x v="0"/>
    <n v="800"/>
    <x v="1"/>
    <x v="1"/>
    <x v="14"/>
    <x v="10"/>
    <x v="3"/>
  </r>
  <r>
    <x v="91"/>
    <n v="1200"/>
    <n v="2400"/>
    <x v="0"/>
    <n v="1200"/>
    <x v="29"/>
    <x v="1"/>
    <x v="14"/>
    <x v="10"/>
    <x v="3"/>
  </r>
  <r>
    <x v="92"/>
    <n v="1526"/>
    <n v="1660"/>
    <x v="0"/>
    <n v="134"/>
    <x v="42"/>
    <x v="2"/>
    <x v="14"/>
    <x v="10"/>
    <x v="3"/>
  </r>
  <r>
    <x v="93"/>
    <n v="1462"/>
    <n v="1499"/>
    <x v="0"/>
    <n v="37"/>
    <x v="30"/>
    <x v="2"/>
    <x v="14"/>
    <x v="10"/>
    <x v="3"/>
  </r>
  <r>
    <x v="94"/>
    <n v="248"/>
    <n v="486"/>
    <x v="2"/>
    <n v="238"/>
    <x v="15"/>
    <x v="1"/>
    <x v="14"/>
    <x v="10"/>
    <x v="3"/>
  </r>
  <r>
    <x v="95"/>
    <n v="3546"/>
    <n v="3699"/>
    <x v="1"/>
    <n v="153"/>
    <x v="38"/>
    <x v="2"/>
    <x v="14"/>
    <x v="10"/>
    <x v="3"/>
  </r>
  <r>
    <x v="96"/>
    <n v="525"/>
    <n v="1029"/>
    <x v="0"/>
    <n v="504"/>
    <x v="15"/>
    <x v="1"/>
    <x v="14"/>
    <x v="10"/>
    <x v="3"/>
  </r>
  <r>
    <x v="97"/>
    <n v="1080"/>
    <n v="1874"/>
    <x v="0"/>
    <n v="794"/>
    <x v="11"/>
    <x v="1"/>
    <x v="14"/>
    <x v="10"/>
    <x v="3"/>
  </r>
  <r>
    <x v="98"/>
    <n v="3640"/>
    <n v="4588"/>
    <x v="1"/>
    <n v="948"/>
    <x v="43"/>
    <x v="0"/>
    <x v="18"/>
    <x v="8"/>
    <x v="0"/>
  </r>
  <r>
    <x v="99"/>
    <n v="1420"/>
    <n v="2420"/>
    <x v="0"/>
    <n v="1000"/>
    <x v="28"/>
    <x v="1"/>
    <x v="14"/>
    <x v="10"/>
    <x v="3"/>
  </r>
  <r>
    <x v="100"/>
    <n v="1875"/>
    <n v="1899"/>
    <x v="1"/>
    <n v="24"/>
    <x v="44"/>
    <x v="2"/>
    <x v="14"/>
    <x v="10"/>
    <x v="3"/>
  </r>
  <r>
    <x v="101"/>
    <n v="198"/>
    <n v="260"/>
    <x v="2"/>
    <n v="62"/>
    <x v="6"/>
    <x v="0"/>
    <x v="14"/>
    <x v="10"/>
    <x v="3"/>
  </r>
  <r>
    <x v="102"/>
    <n v="1150"/>
    <n v="1737"/>
    <x v="0"/>
    <n v="587"/>
    <x v="10"/>
    <x v="0"/>
    <x v="14"/>
    <x v="10"/>
    <x v="3"/>
  </r>
  <r>
    <x v="103"/>
    <n v="1190"/>
    <n v="1810"/>
    <x v="0"/>
    <n v="620"/>
    <x v="10"/>
    <x v="0"/>
    <x v="14"/>
    <x v="10"/>
    <x v="3"/>
  </r>
  <r>
    <x v="104"/>
    <n v="1658"/>
    <n v="1699"/>
    <x v="0"/>
    <n v="41"/>
    <x v="30"/>
    <x v="2"/>
    <x v="14"/>
    <x v="10"/>
    <x v="3"/>
  </r>
  <r>
    <x v="105"/>
    <n v="1768"/>
    <n v="1799"/>
    <x v="1"/>
    <n v="31"/>
    <x v="30"/>
    <x v="2"/>
    <x v="14"/>
    <x v="10"/>
    <x v="3"/>
  </r>
  <r>
    <x v="106"/>
    <n v="199"/>
    <n v="553"/>
    <x v="2"/>
    <n v="354"/>
    <x v="45"/>
    <x v="1"/>
    <x v="14"/>
    <x v="10"/>
    <x v="3"/>
  </r>
  <r>
    <x v="107"/>
    <n v="450"/>
    <n v="900"/>
    <x v="2"/>
    <n v="450"/>
    <x v="29"/>
    <x v="1"/>
    <x v="18"/>
    <x v="22"/>
    <x v="4"/>
  </r>
  <r>
    <x v="108"/>
    <n v="169"/>
    <n v="320"/>
    <x v="2"/>
    <n v="151"/>
    <x v="1"/>
    <x v="1"/>
    <x v="14"/>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0A56D-95CD-4872-B187-B9815BE346E3}" name="PivotTable34" cacheId="7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Price Category">
  <location ref="A19:B2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oduct" fld="1" subtotal="count" baseField="0" baseItem="0"/>
  </dataFields>
  <formats count="8">
    <format dxfId="0">
      <pivotArea dataOnly="0" labelOnly="1" outline="0" axis="axisValues" fieldPosition="0"/>
    </format>
    <format dxfId="1">
      <pivotArea grandRow="1" outline="0" collapsedLevelsAreSubtotals="1" fieldPosition="0"/>
    </format>
    <format dxfId="2">
      <pivotArea dataOnly="0" labelOnly="1" grandRow="1" outline="0" fieldPosition="0"/>
    </format>
    <format dxfId="3">
      <pivotArea dataOnly="0" labelOnly="1" outline="0" axis="axisValues" fieldPosition="0"/>
    </format>
    <format dxfId="4">
      <pivotArea dataOnly="0" labelOnly="1" outline="0" axis="axisValues" fieldPosition="0"/>
    </format>
    <format dxfId="5">
      <pivotArea grandRow="1" outline="0" collapsedLevelsAreSubtotals="1" fieldPosition="0"/>
    </format>
    <format dxfId="6">
      <pivotArea dataOnly="0" labelOnly="1" grandRow="1" outline="0" fieldPosition="0"/>
    </format>
    <format dxfId="7">
      <pivotArea field="0" type="button" dataOnly="0" labelOnly="1" outline="0" axis="axisRow" fieldPosition="0"/>
    </format>
  </formats>
  <chartFormats count="1">
    <chartFormat chart="14"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Discount"/>
    <pivotHierarchy dragToData="1" caption="Average of Discount"/>
    <pivotHierarchy dragToData="1" caption="Count of Dis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mia_product_performance_analysis.xlsx!Excel_jumia_dataset3">
        <x15:activeTabTopLevelEntity name="[Excel_jumia_dataset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2B8FB5-1F68-423A-AB3E-06FA272E8614}" name="PivotTable33" cacheId="74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rowHeaderCaption="Rating Category">
  <location ref="A5:B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Product" fld="1" subtotal="count" baseField="0" baseItem="0"/>
  </dataFields>
  <formats count="7">
    <format dxfId="9">
      <pivotArea dataOnly="0" labelOnly="1" outline="0" axis="axisValues" fieldPosition="0"/>
    </format>
    <format dxfId="10">
      <pivotArea grandRow="1" outline="0" collapsedLevelsAreSubtotals="1" fieldPosition="0"/>
    </format>
    <format dxfId="11">
      <pivotArea dataOnly="0" labelOnly="1" grandRow="1" outline="0" fieldPosition="0"/>
    </format>
    <format dxfId="12">
      <pivotArea dataOnly="0" labelOnly="1" outline="0" axis="axisValues" fieldPosition="0"/>
    </format>
    <format dxfId="13">
      <pivotArea grandRow="1" outline="0" collapsedLevelsAreSubtotals="1" fieldPosition="0"/>
    </format>
    <format dxfId="14">
      <pivotArea dataOnly="0" labelOnly="1" grandRow="1" outline="0" fieldPosition="0"/>
    </format>
    <format dxfId="8">
      <pivotArea field="0" type="button" dataOnly="0" labelOnly="1" outline="0" axis="axisRow" fieldPosition="0"/>
    </format>
  </formats>
  <chartFormats count="1">
    <chartFormat chart="7"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mia_product_performance_analysis.xlsx!Excel_jumia_dataset3">
        <x15:activeTabTopLevelEntity name="[Excel_jumia_dataset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9A758-E603-4FFA-B911-2F221D403F73}" name="PivotTable25" cacheId="71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rowHeaderCaption="Discount Category">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 fld="0" subtotal="count" baseField="0" baseItem="0"/>
  </dataFields>
  <formats count="7">
    <format dxfId="34">
      <pivotArea dataOnly="0" labelOnly="1" outline="0" axis="axisValues" fieldPosition="0"/>
    </format>
    <format dxfId="35">
      <pivotArea grandRow="1" outline="0" collapsedLevelsAreSubtotals="1" fieldPosition="0"/>
    </format>
    <format dxfId="36">
      <pivotArea dataOnly="0" labelOnly="1" grandRow="1" outline="0" fieldPosition="0"/>
    </format>
    <format dxfId="37">
      <pivotArea dataOnly="0" labelOnly="1" outline="0" axis="axisValues" fieldPosition="0"/>
    </format>
    <format dxfId="38">
      <pivotArea grandRow="1" outline="0" collapsedLevelsAreSubtotals="1" fieldPosition="0"/>
    </format>
    <format dxfId="39">
      <pivotArea dataOnly="0" labelOnly="1" grandRow="1" outline="0" fieldPosition="0"/>
    </format>
    <format dxfId="33">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mia_product_performance_analysis.xlsx!Excel_jumia_dataset3">
        <x15:activeTabTopLevelEntity name="[Excel_jumia_dataset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067E49-BD0C-4BB5-BA05-99632A09948D}" name="PivotTable23" cacheId="7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Price Category">
  <location ref="A33:B3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ating" fld="1" subtotal="count" baseField="0" baseItem="0"/>
  </dataFields>
  <formats count="8">
    <format dxfId="59">
      <pivotArea dataOnly="0" labelOnly="1" outline="0" axis="axisValues" fieldPosition="0"/>
    </format>
    <format dxfId="60">
      <pivotArea grandRow="1" outline="0" collapsedLevelsAreSubtotals="1" fieldPosition="0"/>
    </format>
    <format dxfId="61">
      <pivotArea dataOnly="0" labelOnly="1" grandRow="1" outline="0" fieldPosition="0"/>
    </format>
    <format dxfId="62">
      <pivotArea dataOnly="0" labelOnly="1" outline="0" axis="axisValues" fieldPosition="0"/>
    </format>
    <format dxfId="63">
      <pivotArea dataOnly="0" labelOnly="1" outline="0" axis="axisValues" fieldPosition="0"/>
    </format>
    <format dxfId="64">
      <pivotArea grandRow="1" outline="0" collapsedLevelsAreSubtotals="1" fieldPosition="0"/>
    </format>
    <format dxfId="65">
      <pivotArea dataOnly="0" labelOnly="1" grandRow="1" outline="0" fieldPosition="0"/>
    </format>
    <format dxfId="66">
      <pivotArea field="0" type="button" dataOnly="0" labelOnly="1" outline="0" axis="axisRow" fieldPosition="0"/>
    </format>
  </formats>
  <chartFormats count="1">
    <chartFormat chart="14"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Discount"/>
    <pivotHierarchy dragToData="1" caption="Average of Discount"/>
    <pivotHierarchy dragToData="1" caption="Count of Dis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mia_product_performance_analysis.xlsx!Excel_jumia_dataset3">
        <x15:activeTabTopLevelEntity name="[Excel_jumia_dataset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4197F-0091-43F2-9776-A1F95E73E3CC}" name="PivotTable19" cacheId="7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Discount Category">
  <location ref="A26:B30" firstHeaderRow="1" firstDataRow="1" firstDataCol="1"/>
  <pivotFields count="3">
    <pivotField axis="axisRow" allDrilled="1" subtotalTop="0" showAll="0" defaultSubtotal="0" defaultAttributeDrillState="1">
      <items count="3">
        <item x="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iew" fld="1" baseField="0" baseItem="0"/>
  </dataFields>
  <formats count="10">
    <format dxfId="49">
      <pivotArea field="0" type="button" dataOnly="0" labelOnly="1" outline="0" axis="axisRow" fieldPosition="0"/>
    </format>
    <format dxfId="50">
      <pivotArea dataOnly="0" labelOnly="1" outline="0" axis="axisValues" fieldPosition="0"/>
    </format>
    <format dxfId="51">
      <pivotArea grandRow="1" outline="0" collapsedLevelsAreSubtotals="1" fieldPosition="0"/>
    </format>
    <format dxfId="52">
      <pivotArea dataOnly="0" labelOnly="1" grandRow="1" outline="0" fieldPosition="0"/>
    </format>
    <format dxfId="53">
      <pivotArea field="0" type="button" dataOnly="0" labelOnly="1" outline="0" axis="axisRow" fieldPosition="0"/>
    </format>
    <format dxfId="54">
      <pivotArea dataOnly="0" labelOnly="1" outline="0" axis="axisValues" fieldPosition="0"/>
    </format>
    <format dxfId="55">
      <pivotArea field="0" type="button" dataOnly="0" labelOnly="1" outline="0" axis="axisRow" fieldPosition="0"/>
    </format>
    <format dxfId="56">
      <pivotArea dataOnly="0" labelOnly="1" outline="0" axis="axisValues" fieldPosition="0"/>
    </format>
    <format dxfId="57">
      <pivotArea grandRow="1" outline="0" collapsedLevelsAreSubtotals="1" fieldPosition="0"/>
    </format>
    <format dxfId="58">
      <pivotArea dataOnly="0" labelOnly="1" grandRow="1" outline="0" fieldPosition="0"/>
    </format>
  </formats>
  <chartFormats count="1">
    <chartFormat chart="2"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mia_product_performance_analysis.xlsx!Excel_jumia_dataset3">
        <x15:activeTabTopLevelEntity name="[Excel_jumia_dataset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6C33FE-D48C-4C25-9E7B-220363FFDAB5}" name="PivotTable17" cacheId="7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Discount Category">
  <location ref="A13:B1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oduct" fld="1" subtotal="count" baseField="0" baseItem="0"/>
  </dataFields>
  <formats count="8">
    <format dxfId="41">
      <pivotArea field="0" type="button" dataOnly="0" labelOnly="1" outline="0" axis="axisRow" fieldPosition="0"/>
    </format>
    <format dxfId="42">
      <pivotArea dataOnly="0" labelOnly="1" outline="0" axis="axisValues" fieldPosition="0"/>
    </format>
    <format dxfId="43">
      <pivotArea grandRow="1" outline="0" collapsedLevelsAreSubtotals="1" fieldPosition="0"/>
    </format>
    <format dxfId="44">
      <pivotArea dataOnly="0" labelOnly="1" grandRow="1" outline="0" fieldPosition="0"/>
    </format>
    <format dxfId="45">
      <pivotArea field="0" type="button" dataOnly="0" labelOnly="1" outline="0" axis="axisRow" fieldPosition="0"/>
    </format>
    <format dxfId="46">
      <pivotArea dataOnly="0" labelOnly="1" outline="0" axis="axisValues" fieldPosition="0"/>
    </format>
    <format dxfId="47">
      <pivotArea grandRow="1" outline="0" collapsedLevelsAreSubtotals="1" fieldPosition="0"/>
    </format>
    <format dxfId="48">
      <pivotArea dataOnly="0" labelOnly="1" grandRow="1" outline="0" fieldPosition="0"/>
    </format>
  </formats>
  <chartFormats count="1">
    <chartFormat chart="2"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mia_product_performance_analysis.xlsx!Excel_jumia_dataset3">
        <x15:activeTabTopLevelEntity name="[Excel_jumia_dataset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90A32B-1E68-4690-837C-285A2F0A24D5}" name="PivotTable31" cacheId="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9:B40" firstHeaderRow="1" firstDataRow="1" firstDataCol="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1"/>
        <item x="2"/>
        <item x="0"/>
        <item t="default"/>
      </items>
    </pivotField>
    <pivotField numFmtId="164"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showAll="0"/>
    <pivotField showAll="0"/>
    <pivotField showAll="0">
      <items count="6">
        <item x="2"/>
        <item x="0"/>
        <item x="3"/>
        <item x="4"/>
        <item x="1"/>
        <item t="default"/>
      </items>
    </pivotField>
  </pivotFields>
  <rowFields count="1">
    <field x="0"/>
  </rowFields>
  <rowItems count="11">
    <i>
      <x v="31"/>
    </i>
    <i>
      <x v="70"/>
    </i>
    <i>
      <x v="30"/>
    </i>
    <i>
      <x v="53"/>
    </i>
    <i>
      <x v="67"/>
    </i>
    <i>
      <x v="84"/>
    </i>
    <i>
      <x v="52"/>
    </i>
    <i>
      <x v="20"/>
    </i>
    <i>
      <x v="60"/>
    </i>
    <i>
      <x v="64"/>
    </i>
    <i t="grand">
      <x/>
    </i>
  </rowItems>
  <colItems count="1">
    <i/>
  </colItems>
  <dataFields count="1">
    <dataField name="Average of Discount" fld="5" subtotal="average" baseField="0" baseItem="2" numFmtId="9"/>
  </dataFields>
  <formats count="4">
    <format dxfId="18">
      <pivotArea field="0"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94C10-53A7-4F60-A0B2-0E4C9F5C807E}" name="PivotTable30" cacheId="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Top 10 Products by Number of Reviews">
  <location ref="A16:B27" firstHeaderRow="1" firstDataRow="1" firstDataCol="1"/>
  <pivotFields count="10">
    <pivotField axis="axisRow" showAll="0" measureFilter="1" sortType="descending">
      <items count="110">
        <item x="38"/>
        <item x="25"/>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1"/>
        <item x="2"/>
        <item x="0"/>
        <item t="default"/>
      </items>
    </pivotField>
    <pivotField numFmtId="164"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dataField="1" showAll="0"/>
    <pivotField showAll="0"/>
    <pivotField showAll="0">
      <items count="6">
        <item x="2"/>
        <item x="0"/>
        <item x="3"/>
        <item x="4"/>
        <item x="1"/>
        <item t="default"/>
      </items>
    </pivotField>
  </pivotFields>
  <rowFields count="1">
    <field x="0"/>
  </rowFields>
  <rowItems count="11">
    <i>
      <x v="6"/>
    </i>
    <i>
      <x v="9"/>
    </i>
    <i>
      <x v="1"/>
    </i>
    <i>
      <x v="19"/>
    </i>
    <i>
      <x v="2"/>
    </i>
    <i>
      <x v="95"/>
    </i>
    <i>
      <x v="28"/>
    </i>
    <i>
      <x v="91"/>
    </i>
    <i>
      <x v="27"/>
    </i>
    <i>
      <x v="29"/>
    </i>
    <i t="grand">
      <x/>
    </i>
  </rowItems>
  <colItems count="1">
    <i/>
  </colItems>
  <dataFields count="1">
    <dataField name="Sum of Review" fld="7" baseField="0" baseItem="0"/>
  </dataFields>
  <formats count="4">
    <format dxfId="22">
      <pivotArea field="0" type="button" dataOnly="0" labelOnly="1" outline="0" axis="axisRow" fieldPosition="0"/>
    </format>
    <format dxfId="21">
      <pivotArea dataOnly="0" labelOnly="1" outline="0" axis="axisValues" fieldPosition="0"/>
    </format>
    <format dxfId="20">
      <pivotArea grandRow="1" outline="0" collapsedLevelsAreSubtotals="1" fieldPosition="0"/>
    </format>
    <format dxfId="19">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92BCF2-12A0-4EA1-84BE-912B723B3116}" name="PivotTable29" cacheId="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Top 10 Products by Rating">
  <location ref="A2:B13" firstHeaderRow="1" firstDataRow="1" firstDataCol="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1"/>
        <item x="2"/>
        <item x="0"/>
        <item t="default"/>
      </items>
    </pivotField>
    <pivotField numFmtId="164"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showAll="0"/>
    <pivotField dataField="1" showAll="0"/>
    <pivotField showAll="0">
      <items count="6">
        <item x="2"/>
        <item x="0"/>
        <item x="3"/>
        <item x="4"/>
        <item x="1"/>
        <item t="default"/>
      </items>
    </pivotField>
  </pivotFields>
  <rowFields count="1">
    <field x="0"/>
  </rowFields>
  <rowItems count="11">
    <i>
      <x v="52"/>
    </i>
    <i>
      <x v="68"/>
    </i>
    <i>
      <x v="65"/>
    </i>
    <i>
      <x v="40"/>
    </i>
    <i>
      <x v="87"/>
    </i>
    <i>
      <x v="44"/>
    </i>
    <i>
      <x v="57"/>
    </i>
    <i>
      <x v="70"/>
    </i>
    <i>
      <x v="90"/>
    </i>
    <i>
      <x v="22"/>
    </i>
    <i t="grand">
      <x/>
    </i>
  </rowItems>
  <colItems count="1">
    <i/>
  </colItems>
  <dataFields count="1">
    <dataField name="Average of Rating" fld="8" subtotal="average" baseField="0" baseItem="52"/>
  </dataFields>
  <formats count="6">
    <format dxfId="28">
      <pivotArea field="0" type="button" dataOnly="0" labelOnly="1" outline="0" axis="axisRow" fieldPosition="0"/>
    </format>
    <format dxfId="27">
      <pivotArea field="0" type="button" dataOnly="0" labelOnly="1" outline="0" axis="axisRow" fieldPosition="0"/>
    </format>
    <format dxfId="26">
      <pivotArea field="0" type="button" dataOnly="0" labelOnly="1" outline="0" axis="axisRow" fieldPosition="0"/>
    </format>
    <format dxfId="25">
      <pivotArea dataOnly="0" labelOnly="1" outline="0" axis="axisValues" fieldPosition="0"/>
    </format>
    <format dxfId="24">
      <pivotArea grandRow="1" outline="0" collapsedLevelsAreSubtotals="1" fieldPosition="0"/>
    </format>
    <format dxfId="23">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37A5FD-319F-4BAF-8FD2-5F1024F91447}"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3ED60A4-8C48-42EC-B0A3-2E633515057D}" autoFormatId="16" applyNumberFormats="0" applyBorderFormats="0" applyFontFormats="0" applyPatternFormats="0" applyAlignmentFormats="0" applyWidthHeightFormats="0">
  <queryTableRefresh nextId="13" unboundColumnsRight="1">
    <queryTableFields count="10">
      <queryTableField id="1" name="Product" tableColumnId="1"/>
      <queryTableField id="2" name="Current price" tableColumnId="2"/>
      <queryTableField id="3" name="old price" tableColumnId="3"/>
      <queryTableField id="9" dataBound="0" tableColumnId="9"/>
      <queryTableField id="7" dataBound="0" tableColumnId="7"/>
      <queryTableField id="4" name="Discount" tableColumnId="4"/>
      <queryTableField id="10" dataBound="0" tableColumnId="10"/>
      <queryTableField id="5" name="Review" tableColumnId="5"/>
      <queryTableField id="6" name="Ratingd" tableColumnId="6"/>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9766844F-1BF4-4B1C-BD95-B68114CAA83B}" sourceName="[Excel_jumia_dataset3].[Discount Category]">
  <pivotTables>
    <pivotTable tabId="19" name="PivotTable17"/>
    <pivotTable tabId="19" name="PivotTable19"/>
    <pivotTable tabId="19" name="PivotTable23"/>
    <pivotTable tabId="19" name="PivotTable25"/>
    <pivotTable tabId="19" name="PivotTable33"/>
    <pivotTable tabId="19" name="PivotTable34"/>
  </pivotTables>
  <data>
    <olap pivotCacheId="2047610376">
      <levels count="2">
        <level uniqueName="[Excel_jumia_dataset3].[Discount Category].[(All)]" sourceCaption="(All)" count="0"/>
        <level uniqueName="[Excel_jumia_dataset3].[Discount Category].[Discount Category]" sourceCaption="Discount Category" count="3">
          <ranges>
            <range startItem="0">
              <i n="[Excel_jumia_dataset3].[Discount Category].&amp;[High Discount]" c="High Discount"/>
              <i n="[Excel_jumia_dataset3].[Discount Category].&amp;[Low Discount]" c="Low Discount"/>
              <i n="[Excel_jumia_dataset3].[Discount Category].&amp;[Medium Discount]" c="Medium Discount"/>
            </range>
          </ranges>
        </level>
      </levels>
      <selections count="1">
        <selection n="[Excel_jumia_dataset3].[Discoun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EAF1DFB-88DA-49A6-AE1A-777D0584F492}" sourceName="[Excel_jumia_dataset3].[Price Category]">
  <pivotTables>
    <pivotTable tabId="19" name="PivotTable19"/>
  </pivotTables>
  <data>
    <olap pivotCacheId="2047610376">
      <levels count="2">
        <level uniqueName="[Excel_jumia_dataset3].[Price Category].[(All)]" sourceCaption="(All)" count="0"/>
        <level uniqueName="[Excel_jumia_dataset3].[Price Category].[Price Category]" sourceCaption="Price Category" count="3">
          <ranges>
            <range startItem="0">
              <i n="[Excel_jumia_dataset3].[Price Category].&amp;[High Price]" c="High Price"/>
              <i n="[Excel_jumia_dataset3].[Price Category].&amp;[Low Price]" c="Low Price"/>
              <i n="[Excel_jumia_dataset3].[Price Category].&amp;[Medium Price]" c="Medium Price"/>
            </range>
          </ranges>
        </level>
      </levels>
      <selections count="1">
        <selection n="[Excel_jumia_dataset3].[Pric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4D86ACA-9048-41A4-BBAF-5371BCD952A1}" sourceName="[Excel_jumia_dataset3].[Rating Category]">
  <pivotTables>
    <pivotTable tabId="19" name="PivotTable33"/>
  </pivotTables>
  <data>
    <olap pivotCacheId="2047610376">
      <levels count="2">
        <level uniqueName="[Excel_jumia_dataset3].[Rating Category].[(All)]" sourceCaption="(All)" count="0"/>
        <level uniqueName="[Excel_jumia_dataset3].[Rating Category].[Rating Category]" sourceCaption="Rating Category" count="4">
          <ranges>
            <range startItem="0">
              <i n="[Excel_jumia_dataset3].[Rating Category].&amp;[Average]" c="Average"/>
              <i n="[Excel_jumia_dataset3].[Rating Category].&amp;[Excellent]" c="Excellent"/>
              <i n="[Excel_jumia_dataset3].[Rating Category].&amp;[Not Provided]" c="Not Provided"/>
              <i n="[Excel_jumia_dataset3].[Rating Category].&amp;[Poor]" c="Poor"/>
            </range>
          </ranges>
        </level>
      </levels>
      <selections count="1">
        <selection n="[Excel_jumia_dataset3].[Rating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70EE9980-295E-4036-82A3-B62A0881D93D}" cache="Slicer_Discount_Category" caption="Discount Category" level="1" style="SlicerStyleLight2" rowHeight="249238"/>
  <slicer name="Price Category" xr10:uid="{AF4A2B0D-3865-4357-B050-92BCF53E451E}" cache="Slicer_Price_Category" caption="Price Category" level="1" style="SlicerStyleLight2" rowHeight="249238"/>
  <slicer name="Rating Category" xr10:uid="{028CA66A-BDCD-4D93-9477-BC2B5EA81022}" cache="Slicer_Rating_Category" caption="Rating Category" level="1" style="SlicerStyleLight2"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6A7D9307-B0F9-4E94-B83E-CA61FC1128DF}" cache="Slicer_Discount_Category" caption="Discount Category" level="1" style="SlicerStyleLight2" rowHeight="249238"/>
  <slicer name="Price Category 1" xr10:uid="{64683479-209B-406B-B783-D82A24EB4FDF}" cache="Slicer_Price_Category" caption="Price Category" level="1" style="SlicerStyleLight2" rowHeight="249238"/>
  <slicer name="Rating Category 1" xr10:uid="{6ED15E68-81A2-4366-A6A9-167FF64FA151}" cache="Slicer_Rating_Category" caption="Rating Category" level="1" style="SlicerStyleLight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66E9BD-5EA0-4140-A476-1E35712B9ED7}" name="Excel_jumia_dataset" displayName="Excel_jumia_dataset" ref="A1:F116" tableType="queryTable" totalsRowShown="0">
  <autoFilter ref="A1:F116" xr:uid="{9666E9BD-5EA0-4140-A476-1E35712B9ED7}"/>
  <tableColumns count="6">
    <tableColumn id="1" xr3:uid="{A0ADAE8D-6546-42DD-AF3A-80B9637BB154}" uniqueName="1" name="Product" queryTableFieldId="1" dataDxfId="74"/>
    <tableColumn id="2" xr3:uid="{3BBA0F4F-3BD6-44D0-9D21-B3A9B851726F}" uniqueName="2" name="Current price" queryTableFieldId="2" dataDxfId="73"/>
    <tableColumn id="3" xr3:uid="{0BE5E7B6-38B3-4FBD-A219-53FE6AC2AD3A}" uniqueName="3" name="old price" queryTableFieldId="3" dataDxfId="72"/>
    <tableColumn id="4" xr3:uid="{C1ABC99D-0CE8-412B-99C4-093AA6FAB839}" uniqueName="4" name="Discount" queryTableFieldId="4"/>
    <tableColumn id="5" xr3:uid="{5C44F279-E8BA-4D96-902D-388640F44E81}" uniqueName="5" name="Review" queryTableFieldId="5"/>
    <tableColumn id="6" xr3:uid="{96A2371C-BDF9-4D19-B167-FA165755D578}" uniqueName="6" name="Ratingd" queryTableFieldId="6" dataDxfId="7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416636-19F0-43FC-B079-78CCBC46AC5F}" name="Excel_jumia_dataset3" displayName="Excel_jumia_dataset3" ref="A1:J113" tableType="queryTable" totalsRowShown="0">
  <autoFilter ref="A1:J113" xr:uid="{12416636-19F0-43FC-B079-78CCBC46AC5F}"/>
  <tableColumns count="10">
    <tableColumn id="1" xr3:uid="{EF6EAC66-05DB-4F5C-B886-B4F17E5DF0F7}" uniqueName="1" name="Product" queryTableFieldId="1" dataDxfId="70"/>
    <tableColumn id="2" xr3:uid="{5F721B16-13E8-4776-9563-1B946927433D}" uniqueName="2" name="Current Price" queryTableFieldId="2" dataDxfId="69"/>
    <tableColumn id="3" xr3:uid="{79FA0402-66C9-4664-8868-3F7BE85C5251}" uniqueName="3" name="Old Price" queryTableFieldId="3" dataDxfId="68"/>
    <tableColumn id="9" xr3:uid="{DC341FDE-BA3E-45F3-9A4B-BC505C71D95D}" uniqueName="9" name="Price Category" queryTableFieldId="9" dataDxfId="40">
      <calculatedColumnFormula>IF(Excel_jumia_dataset3[[#This Row],[Current Price]]="","Missing",IF(Excel_jumia_dataset3[[#This Row],[Current Price]]&lt;Data_Analysis!$B$21,"Low Price",IF(Excel_jumia_dataset3[[#This Row],[Current Price]]&lt;Data_Analysis!$B$22,"Medium Price","High Price")))</calculatedColumnFormula>
    </tableColumn>
    <tableColumn id="7" xr3:uid="{014D762E-2D23-4B53-98FB-714566B3DCC2}" uniqueName="7" name="Discount Amount" queryTableFieldId="7" dataDxfId="67">
      <calculatedColumnFormula>Excel_jumia_dataset3[[#This Row],[Old Price]]-Excel_jumia_dataset3[[#This Row],[Current Price]]</calculatedColumnFormula>
    </tableColumn>
    <tableColumn id="4" xr3:uid="{57348DE0-5804-490A-919D-061D361A3E4F}" uniqueName="4" name="Discount" queryTableFieldId="4" dataCellStyle="Percent"/>
    <tableColumn id="10" xr3:uid="{D79DF2EC-DC85-48F1-BFE1-2181C598BD30}" uniqueName="10" name="Discount Category" queryTableFieldId="10" dataDxfId="32" dataCellStyle="Percent">
      <calculatedColumnFormula>IF(F2&lt;20%,"Low Discount",IF(F2&lt;=40%,"Medium Discount", "High Discount"))</calculatedColumnFormula>
    </tableColumn>
    <tableColumn id="5" xr3:uid="{308679CC-B297-4749-AC13-BF26E4A3FF65}" uniqueName="5" name="Review" queryTableFieldId="5" dataDxfId="31"/>
    <tableColumn id="6" xr3:uid="{2FD4AE80-E6FE-4710-9233-7FC5D058DFE2}" uniqueName="6" name="Rating" queryTableFieldId="6" dataDxfId="29"/>
    <tableColumn id="8" xr3:uid="{583D9520-D99A-4BC3-843B-6DE8794734B8}" uniqueName="8" name="Rating Category" queryTableFieldId="8" dataDxfId="30">
      <calculatedColumnFormula>IF(ISBLANK(I2),"",IF(I2&lt;3,"Poor",IF(I2&gt;=4.5,"Excellent","Average")))</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8408-9796-4703-BBC6-56F23F435A7D}">
  <dimension ref="A1:F116"/>
  <sheetViews>
    <sheetView tabSelected="1" workbookViewId="0"/>
  </sheetViews>
  <sheetFormatPr defaultRowHeight="14.25" x14ac:dyDescent="0.45"/>
  <cols>
    <col min="1" max="1" width="80.53125" bestFit="1" customWidth="1"/>
    <col min="2" max="3" width="17.86328125" bestFit="1" customWidth="1"/>
    <col min="4" max="4" width="10" bestFit="1" customWidth="1"/>
    <col min="5" max="5" width="8.73046875" bestFit="1" customWidth="1"/>
    <col min="6" max="6" width="9.3984375" bestFit="1" customWidth="1"/>
  </cols>
  <sheetData>
    <row r="1" spans="1:6" x14ac:dyDescent="0.45">
      <c r="A1" t="s">
        <v>0</v>
      </c>
      <c r="B1" t="s">
        <v>1</v>
      </c>
      <c r="C1" t="s">
        <v>2</v>
      </c>
      <c r="D1" t="s">
        <v>3</v>
      </c>
      <c r="E1" t="s">
        <v>4</v>
      </c>
      <c r="F1" t="s">
        <v>5</v>
      </c>
    </row>
    <row r="2" spans="1:6" x14ac:dyDescent="0.45">
      <c r="A2" t="s">
        <v>6</v>
      </c>
      <c r="B2" t="s">
        <v>7</v>
      </c>
      <c r="C2" t="s">
        <v>8</v>
      </c>
      <c r="D2">
        <v>0.38</v>
      </c>
      <c r="E2">
        <v>-2</v>
      </c>
      <c r="F2" t="s">
        <v>9</v>
      </c>
    </row>
    <row r="3" spans="1:6" x14ac:dyDescent="0.45">
      <c r="A3" t="s">
        <v>10</v>
      </c>
      <c r="B3" t="s">
        <v>11</v>
      </c>
      <c r="C3" t="s">
        <v>12</v>
      </c>
      <c r="D3">
        <v>0.47</v>
      </c>
      <c r="E3">
        <v>-14</v>
      </c>
      <c r="F3" t="s">
        <v>13</v>
      </c>
    </row>
    <row r="4" spans="1:6" x14ac:dyDescent="0.45">
      <c r="A4" t="s">
        <v>14</v>
      </c>
      <c r="B4" t="s">
        <v>15</v>
      </c>
      <c r="C4" t="s">
        <v>16</v>
      </c>
      <c r="D4">
        <v>0.25</v>
      </c>
      <c r="E4">
        <v>-24</v>
      </c>
      <c r="F4" t="s">
        <v>17</v>
      </c>
    </row>
    <row r="5" spans="1:6" x14ac:dyDescent="0.45">
      <c r="A5" t="s">
        <v>18</v>
      </c>
      <c r="B5" t="s">
        <v>19</v>
      </c>
      <c r="C5" t="s">
        <v>20</v>
      </c>
      <c r="D5">
        <v>0.37</v>
      </c>
      <c r="E5">
        <v>-7</v>
      </c>
      <c r="F5" t="s">
        <v>21</v>
      </c>
    </row>
    <row r="6" spans="1:6" x14ac:dyDescent="0.45">
      <c r="A6" t="s">
        <v>22</v>
      </c>
      <c r="B6" t="s">
        <v>23</v>
      </c>
      <c r="C6" t="s">
        <v>24</v>
      </c>
      <c r="D6">
        <v>0.26</v>
      </c>
      <c r="E6">
        <v>-5</v>
      </c>
      <c r="F6" t="s">
        <v>25</v>
      </c>
    </row>
    <row r="7" spans="1:6" x14ac:dyDescent="0.45">
      <c r="A7" t="s">
        <v>26</v>
      </c>
      <c r="B7" t="s">
        <v>27</v>
      </c>
      <c r="C7" t="s">
        <v>28</v>
      </c>
      <c r="D7">
        <v>0.09</v>
      </c>
      <c r="E7">
        <v>-15</v>
      </c>
      <c r="F7" t="s">
        <v>29</v>
      </c>
    </row>
    <row r="8" spans="1:6" x14ac:dyDescent="0.45">
      <c r="A8" t="s">
        <v>30</v>
      </c>
      <c r="B8" t="s">
        <v>31</v>
      </c>
      <c r="C8" t="s">
        <v>32</v>
      </c>
      <c r="D8">
        <v>0.24</v>
      </c>
      <c r="E8">
        <v>-55</v>
      </c>
      <c r="F8" t="s">
        <v>17</v>
      </c>
    </row>
    <row r="9" spans="1:6" x14ac:dyDescent="0.45">
      <c r="A9" t="s">
        <v>33</v>
      </c>
      <c r="B9" t="s">
        <v>34</v>
      </c>
      <c r="C9" t="s">
        <v>19</v>
      </c>
      <c r="D9">
        <v>0.37</v>
      </c>
      <c r="E9">
        <v>-2</v>
      </c>
      <c r="F9" t="s">
        <v>29</v>
      </c>
    </row>
    <row r="10" spans="1:6" x14ac:dyDescent="0.45">
      <c r="A10" t="s">
        <v>35</v>
      </c>
      <c r="B10" t="s">
        <v>36</v>
      </c>
      <c r="C10" t="s">
        <v>37</v>
      </c>
      <c r="D10">
        <v>0.55000000000000004</v>
      </c>
      <c r="E10">
        <v>-5</v>
      </c>
      <c r="F10" t="s">
        <v>25</v>
      </c>
    </row>
    <row r="11" spans="1:6" x14ac:dyDescent="0.45">
      <c r="A11" t="s">
        <v>38</v>
      </c>
      <c r="B11" t="s">
        <v>39</v>
      </c>
      <c r="C11" t="s">
        <v>40</v>
      </c>
      <c r="D11">
        <v>0.45</v>
      </c>
      <c r="E11">
        <v>-5</v>
      </c>
      <c r="F11" t="s">
        <v>41</v>
      </c>
    </row>
    <row r="12" spans="1:6" x14ac:dyDescent="0.45">
      <c r="A12" t="s">
        <v>42</v>
      </c>
      <c r="B12" t="s">
        <v>43</v>
      </c>
      <c r="C12" t="s">
        <v>12</v>
      </c>
      <c r="D12">
        <v>0.2</v>
      </c>
      <c r="E12">
        <v>-12</v>
      </c>
      <c r="F12" t="s">
        <v>13</v>
      </c>
    </row>
    <row r="13" spans="1:6" x14ac:dyDescent="0.45">
      <c r="A13" t="s">
        <v>44</v>
      </c>
      <c r="B13" t="s">
        <v>45</v>
      </c>
      <c r="C13" t="s">
        <v>46</v>
      </c>
      <c r="D13">
        <v>0.34</v>
      </c>
      <c r="E13">
        <v>-39</v>
      </c>
      <c r="F13" t="s">
        <v>21</v>
      </c>
    </row>
    <row r="14" spans="1:6" x14ac:dyDescent="0.45">
      <c r="A14" t="s">
        <v>47</v>
      </c>
      <c r="B14" t="s">
        <v>48</v>
      </c>
      <c r="C14" t="s">
        <v>49</v>
      </c>
      <c r="D14">
        <v>0.47</v>
      </c>
      <c r="E14">
        <v>-12</v>
      </c>
      <c r="F14" t="s">
        <v>25</v>
      </c>
    </row>
    <row r="15" spans="1:6" x14ac:dyDescent="0.45">
      <c r="A15" t="s">
        <v>50</v>
      </c>
      <c r="B15" t="s">
        <v>51</v>
      </c>
      <c r="C15" t="s">
        <v>52</v>
      </c>
      <c r="D15">
        <v>0.42</v>
      </c>
      <c r="E15">
        <v>-6</v>
      </c>
      <c r="F15" t="s">
        <v>9</v>
      </c>
    </row>
    <row r="16" spans="1:6" x14ac:dyDescent="0.45">
      <c r="A16" t="s">
        <v>53</v>
      </c>
      <c r="B16" t="s">
        <v>54</v>
      </c>
      <c r="C16" t="s">
        <v>20</v>
      </c>
      <c r="D16">
        <v>0.33</v>
      </c>
      <c r="E16">
        <v>-9</v>
      </c>
      <c r="F16" t="s">
        <v>55</v>
      </c>
    </row>
    <row r="17" spans="1:6" x14ac:dyDescent="0.45">
      <c r="A17" t="s">
        <v>56</v>
      </c>
      <c r="B17" t="s">
        <v>57</v>
      </c>
      <c r="C17" t="s">
        <v>58</v>
      </c>
      <c r="D17">
        <v>0.51</v>
      </c>
      <c r="E17">
        <v>-2</v>
      </c>
      <c r="F17" t="s">
        <v>59</v>
      </c>
    </row>
    <row r="18" spans="1:6" x14ac:dyDescent="0.45">
      <c r="A18" t="s">
        <v>60</v>
      </c>
      <c r="B18" t="s">
        <v>61</v>
      </c>
      <c r="C18" t="s">
        <v>62</v>
      </c>
      <c r="D18">
        <v>0.46</v>
      </c>
      <c r="E18">
        <v>-2</v>
      </c>
      <c r="F18" t="s">
        <v>59</v>
      </c>
    </row>
    <row r="19" spans="1:6" x14ac:dyDescent="0.45">
      <c r="A19" t="s">
        <v>63</v>
      </c>
      <c r="B19" t="s">
        <v>64</v>
      </c>
      <c r="C19" t="s">
        <v>65</v>
      </c>
      <c r="D19">
        <v>0.49</v>
      </c>
      <c r="E19">
        <v>-3</v>
      </c>
      <c r="F19" t="s">
        <v>59</v>
      </c>
    </row>
    <row r="20" spans="1:6" x14ac:dyDescent="0.45">
      <c r="A20" t="s">
        <v>66</v>
      </c>
      <c r="B20" t="s">
        <v>27</v>
      </c>
      <c r="C20" t="s">
        <v>67</v>
      </c>
      <c r="D20">
        <v>0.19</v>
      </c>
      <c r="E20">
        <v>-5</v>
      </c>
      <c r="F20" t="s">
        <v>17</v>
      </c>
    </row>
    <row r="21" spans="1:6" x14ac:dyDescent="0.45">
      <c r="A21" t="s">
        <v>68</v>
      </c>
      <c r="B21" t="s">
        <v>69</v>
      </c>
      <c r="C21" t="s">
        <v>70</v>
      </c>
      <c r="D21">
        <v>0.49</v>
      </c>
      <c r="E21">
        <v>-44</v>
      </c>
      <c r="F21" t="s">
        <v>17</v>
      </c>
    </row>
    <row r="22" spans="1:6" x14ac:dyDescent="0.45">
      <c r="A22" t="s">
        <v>71</v>
      </c>
      <c r="B22" t="s">
        <v>72</v>
      </c>
      <c r="C22" t="s">
        <v>73</v>
      </c>
      <c r="D22">
        <v>0.53</v>
      </c>
      <c r="E22">
        <v>-13</v>
      </c>
      <c r="F22" t="s">
        <v>74</v>
      </c>
    </row>
    <row r="23" spans="1:6" x14ac:dyDescent="0.45">
      <c r="A23" t="s">
        <v>75</v>
      </c>
      <c r="B23" t="s">
        <v>76</v>
      </c>
      <c r="C23" t="s">
        <v>77</v>
      </c>
      <c r="D23">
        <v>0.42</v>
      </c>
      <c r="F23" t="s">
        <v>78</v>
      </c>
    </row>
    <row r="24" spans="1:6" x14ac:dyDescent="0.45">
      <c r="A24" t="s">
        <v>79</v>
      </c>
      <c r="B24" t="s">
        <v>80</v>
      </c>
      <c r="C24" t="s">
        <v>81</v>
      </c>
      <c r="D24">
        <v>0.35</v>
      </c>
      <c r="E24">
        <v>-6</v>
      </c>
      <c r="F24" t="s">
        <v>29</v>
      </c>
    </row>
    <row r="25" spans="1:6" x14ac:dyDescent="0.45">
      <c r="A25" t="s">
        <v>82</v>
      </c>
      <c r="B25" t="s">
        <v>83</v>
      </c>
      <c r="C25" t="s">
        <v>84</v>
      </c>
      <c r="D25">
        <v>0.23</v>
      </c>
      <c r="E25">
        <v>-14</v>
      </c>
      <c r="F25" t="s">
        <v>85</v>
      </c>
    </row>
    <row r="26" spans="1:6" x14ac:dyDescent="0.45">
      <c r="A26" t="s">
        <v>86</v>
      </c>
      <c r="B26" t="s">
        <v>87</v>
      </c>
      <c r="C26" t="s">
        <v>88</v>
      </c>
      <c r="D26">
        <v>0.54</v>
      </c>
      <c r="E26">
        <v>-7</v>
      </c>
      <c r="F26" t="s">
        <v>89</v>
      </c>
    </row>
    <row r="27" spans="1:6" x14ac:dyDescent="0.45">
      <c r="A27" t="s">
        <v>90</v>
      </c>
      <c r="B27" t="s">
        <v>91</v>
      </c>
      <c r="C27" t="s">
        <v>92</v>
      </c>
      <c r="D27">
        <v>0.35</v>
      </c>
      <c r="E27">
        <v>-49</v>
      </c>
      <c r="F27" t="s">
        <v>17</v>
      </c>
    </row>
    <row r="28" spans="1:6" x14ac:dyDescent="0.45">
      <c r="A28" t="s">
        <v>93</v>
      </c>
      <c r="B28" t="s">
        <v>94</v>
      </c>
      <c r="C28" t="s">
        <v>95</v>
      </c>
      <c r="D28">
        <v>0.18</v>
      </c>
      <c r="E28">
        <v>-12</v>
      </c>
      <c r="F28" t="s">
        <v>41</v>
      </c>
    </row>
    <row r="29" spans="1:6" x14ac:dyDescent="0.45">
      <c r="A29" t="s">
        <v>96</v>
      </c>
      <c r="B29" t="s">
        <v>81</v>
      </c>
      <c r="C29" t="s">
        <v>97</v>
      </c>
      <c r="D29">
        <v>0.32</v>
      </c>
      <c r="E29">
        <v>-13</v>
      </c>
      <c r="F29" t="s">
        <v>41</v>
      </c>
    </row>
    <row r="30" spans="1:6" x14ac:dyDescent="0.45">
      <c r="A30" t="s">
        <v>98</v>
      </c>
      <c r="B30" t="s">
        <v>99</v>
      </c>
      <c r="C30" t="s">
        <v>20</v>
      </c>
      <c r="D30">
        <v>0.3</v>
      </c>
      <c r="E30">
        <v>-20</v>
      </c>
      <c r="F30" t="s">
        <v>13</v>
      </c>
    </row>
    <row r="31" spans="1:6" x14ac:dyDescent="0.45">
      <c r="A31" t="s">
        <v>100</v>
      </c>
      <c r="B31" t="s">
        <v>101</v>
      </c>
      <c r="C31" t="s">
        <v>102</v>
      </c>
      <c r="D31">
        <v>0.46</v>
      </c>
      <c r="F31" t="s">
        <v>78</v>
      </c>
    </row>
    <row r="32" spans="1:6" x14ac:dyDescent="0.45">
      <c r="A32" t="s">
        <v>103</v>
      </c>
      <c r="B32" t="s">
        <v>104</v>
      </c>
      <c r="C32" t="s">
        <v>105</v>
      </c>
      <c r="D32">
        <v>0.52</v>
      </c>
      <c r="E32">
        <v>-9</v>
      </c>
      <c r="F32" t="s">
        <v>89</v>
      </c>
    </row>
    <row r="33" spans="1:6" x14ac:dyDescent="0.45">
      <c r="A33" t="s">
        <v>106</v>
      </c>
      <c r="B33" t="s">
        <v>107</v>
      </c>
      <c r="C33" t="s">
        <v>108</v>
      </c>
      <c r="D33">
        <v>0.34</v>
      </c>
      <c r="E33">
        <v>-12</v>
      </c>
      <c r="F33" t="s">
        <v>21</v>
      </c>
    </row>
    <row r="34" spans="1:6" x14ac:dyDescent="0.45">
      <c r="A34" t="s">
        <v>109</v>
      </c>
      <c r="B34" t="s">
        <v>110</v>
      </c>
      <c r="C34" t="s">
        <v>111</v>
      </c>
      <c r="D34">
        <v>0.48</v>
      </c>
      <c r="E34">
        <v>-9</v>
      </c>
      <c r="F34" t="s">
        <v>89</v>
      </c>
    </row>
    <row r="35" spans="1:6" x14ac:dyDescent="0.45">
      <c r="A35" t="s">
        <v>112</v>
      </c>
      <c r="B35" t="s">
        <v>113</v>
      </c>
      <c r="C35" t="s">
        <v>114</v>
      </c>
      <c r="D35">
        <v>0.27</v>
      </c>
      <c r="E35">
        <v>-20</v>
      </c>
      <c r="F35" t="s">
        <v>21</v>
      </c>
    </row>
    <row r="36" spans="1:6" x14ac:dyDescent="0.45">
      <c r="A36" t="s">
        <v>115</v>
      </c>
      <c r="B36" t="s">
        <v>116</v>
      </c>
      <c r="C36" t="s">
        <v>117</v>
      </c>
      <c r="D36">
        <v>0.27</v>
      </c>
      <c r="E36">
        <v>-32</v>
      </c>
      <c r="F36" t="s">
        <v>9</v>
      </c>
    </row>
    <row r="37" spans="1:6" x14ac:dyDescent="0.45">
      <c r="A37" t="s">
        <v>118</v>
      </c>
      <c r="B37" t="s">
        <v>119</v>
      </c>
      <c r="C37" t="s">
        <v>120</v>
      </c>
      <c r="D37">
        <v>0.4</v>
      </c>
      <c r="E37">
        <v>-1</v>
      </c>
      <c r="F37" t="s">
        <v>59</v>
      </c>
    </row>
    <row r="38" spans="1:6" x14ac:dyDescent="0.45">
      <c r="A38" t="s">
        <v>121</v>
      </c>
      <c r="B38" t="s">
        <v>122</v>
      </c>
      <c r="C38" t="s">
        <v>62</v>
      </c>
      <c r="D38">
        <v>0.53</v>
      </c>
      <c r="E38">
        <v>-2</v>
      </c>
      <c r="F38" t="s">
        <v>59</v>
      </c>
    </row>
    <row r="39" spans="1:6" x14ac:dyDescent="0.45">
      <c r="A39" t="s">
        <v>123</v>
      </c>
      <c r="B39" t="s">
        <v>124</v>
      </c>
      <c r="C39" t="s">
        <v>125</v>
      </c>
      <c r="D39">
        <v>0.41</v>
      </c>
      <c r="E39">
        <v>-36</v>
      </c>
      <c r="F39" t="s">
        <v>89</v>
      </c>
    </row>
    <row r="40" spans="1:6" x14ac:dyDescent="0.45">
      <c r="A40" t="s">
        <v>126</v>
      </c>
      <c r="B40" t="s">
        <v>127</v>
      </c>
      <c r="C40" t="s">
        <v>128</v>
      </c>
      <c r="D40">
        <v>0.38</v>
      </c>
      <c r="E40">
        <v>-2</v>
      </c>
      <c r="F40" t="s">
        <v>9</v>
      </c>
    </row>
    <row r="41" spans="1:6" x14ac:dyDescent="0.45">
      <c r="A41" t="s">
        <v>129</v>
      </c>
      <c r="B41" t="s">
        <v>130</v>
      </c>
      <c r="C41" t="s">
        <v>131</v>
      </c>
      <c r="D41">
        <v>0.38</v>
      </c>
      <c r="F41" t="s">
        <v>78</v>
      </c>
    </row>
    <row r="42" spans="1:6" x14ac:dyDescent="0.45">
      <c r="A42" t="s">
        <v>132</v>
      </c>
      <c r="B42" t="s">
        <v>133</v>
      </c>
      <c r="C42" t="s">
        <v>134</v>
      </c>
      <c r="D42">
        <v>0.49</v>
      </c>
      <c r="F42" t="s">
        <v>78</v>
      </c>
    </row>
    <row r="43" spans="1:6" x14ac:dyDescent="0.45">
      <c r="A43" t="s">
        <v>135</v>
      </c>
      <c r="B43" t="s">
        <v>136</v>
      </c>
      <c r="C43" t="s">
        <v>137</v>
      </c>
      <c r="D43">
        <v>0.5</v>
      </c>
      <c r="F43" t="s">
        <v>78</v>
      </c>
    </row>
    <row r="44" spans="1:6" x14ac:dyDescent="0.45">
      <c r="A44" t="s">
        <v>138</v>
      </c>
      <c r="B44" t="s">
        <v>139</v>
      </c>
      <c r="C44" t="s">
        <v>140</v>
      </c>
      <c r="D44">
        <v>0.42</v>
      </c>
      <c r="F44" t="s">
        <v>78</v>
      </c>
    </row>
    <row r="45" spans="1:6" x14ac:dyDescent="0.45">
      <c r="A45" t="s">
        <v>138</v>
      </c>
      <c r="B45" t="s">
        <v>139</v>
      </c>
      <c r="C45" t="s">
        <v>140</v>
      </c>
      <c r="D45">
        <v>0.42</v>
      </c>
      <c r="F45" t="s">
        <v>78</v>
      </c>
    </row>
    <row r="46" spans="1:6" x14ac:dyDescent="0.45">
      <c r="A46" t="s">
        <v>141</v>
      </c>
      <c r="B46" t="s">
        <v>142</v>
      </c>
      <c r="C46" t="s">
        <v>143</v>
      </c>
      <c r="D46">
        <v>0.02</v>
      </c>
      <c r="F46" t="s">
        <v>78</v>
      </c>
    </row>
    <row r="47" spans="1:6" x14ac:dyDescent="0.45">
      <c r="A47" t="s">
        <v>144</v>
      </c>
      <c r="B47" t="s">
        <v>12</v>
      </c>
      <c r="C47" t="s">
        <v>145</v>
      </c>
      <c r="D47">
        <v>0.5</v>
      </c>
      <c r="F47" t="s">
        <v>78</v>
      </c>
    </row>
    <row r="48" spans="1:6" x14ac:dyDescent="0.45">
      <c r="A48" t="s">
        <v>146</v>
      </c>
      <c r="B48" t="s">
        <v>147</v>
      </c>
      <c r="C48" t="s">
        <v>148</v>
      </c>
      <c r="D48">
        <v>0.33</v>
      </c>
      <c r="F48" t="s">
        <v>78</v>
      </c>
    </row>
    <row r="49" spans="1:6" x14ac:dyDescent="0.45">
      <c r="A49" t="s">
        <v>149</v>
      </c>
      <c r="B49" t="s">
        <v>150</v>
      </c>
      <c r="C49" t="s">
        <v>151</v>
      </c>
      <c r="D49">
        <v>0.49</v>
      </c>
      <c r="F49" t="s">
        <v>78</v>
      </c>
    </row>
    <row r="50" spans="1:6" x14ac:dyDescent="0.45">
      <c r="A50" t="s">
        <v>152</v>
      </c>
      <c r="B50" t="s">
        <v>153</v>
      </c>
      <c r="C50" t="s">
        <v>154</v>
      </c>
      <c r="D50">
        <v>0.38</v>
      </c>
      <c r="F50" t="s">
        <v>78</v>
      </c>
    </row>
    <row r="51" spans="1:6" x14ac:dyDescent="0.45">
      <c r="A51" t="s">
        <v>155</v>
      </c>
      <c r="B51" t="s">
        <v>156</v>
      </c>
      <c r="C51" t="s">
        <v>157</v>
      </c>
      <c r="D51">
        <v>0.61</v>
      </c>
      <c r="F51" t="s">
        <v>78</v>
      </c>
    </row>
    <row r="52" spans="1:6" x14ac:dyDescent="0.45">
      <c r="A52" t="s">
        <v>158</v>
      </c>
      <c r="B52" t="s">
        <v>159</v>
      </c>
      <c r="C52" t="s">
        <v>160</v>
      </c>
      <c r="D52">
        <v>0.5</v>
      </c>
      <c r="F52" t="s">
        <v>78</v>
      </c>
    </row>
    <row r="53" spans="1:6" x14ac:dyDescent="0.45">
      <c r="A53" t="s">
        <v>161</v>
      </c>
      <c r="B53" t="s">
        <v>162</v>
      </c>
      <c r="C53" t="s">
        <v>163</v>
      </c>
      <c r="D53">
        <v>0.02</v>
      </c>
      <c r="F53" t="s">
        <v>78</v>
      </c>
    </row>
    <row r="54" spans="1:6" x14ac:dyDescent="0.45">
      <c r="A54" t="s">
        <v>164</v>
      </c>
      <c r="B54" t="s">
        <v>159</v>
      </c>
      <c r="C54" t="s">
        <v>165</v>
      </c>
      <c r="D54">
        <v>0.22</v>
      </c>
      <c r="F54" t="s">
        <v>78</v>
      </c>
    </row>
    <row r="55" spans="1:6" x14ac:dyDescent="0.45">
      <c r="A55" t="s">
        <v>166</v>
      </c>
      <c r="B55" t="s">
        <v>167</v>
      </c>
      <c r="C55" t="s">
        <v>168</v>
      </c>
      <c r="D55">
        <v>0.03</v>
      </c>
      <c r="F55" t="s">
        <v>78</v>
      </c>
    </row>
    <row r="56" spans="1:6" x14ac:dyDescent="0.45">
      <c r="A56" t="s">
        <v>169</v>
      </c>
      <c r="B56" t="s">
        <v>43</v>
      </c>
      <c r="C56" t="s">
        <v>170</v>
      </c>
      <c r="D56">
        <v>0.41</v>
      </c>
      <c r="F56" t="s">
        <v>78</v>
      </c>
    </row>
    <row r="57" spans="1:6" x14ac:dyDescent="0.45">
      <c r="A57" t="s">
        <v>171</v>
      </c>
      <c r="B57" t="s">
        <v>172</v>
      </c>
      <c r="C57" t="s">
        <v>173</v>
      </c>
      <c r="D57">
        <v>0.45</v>
      </c>
      <c r="F57" t="s">
        <v>78</v>
      </c>
    </row>
    <row r="58" spans="1:6" x14ac:dyDescent="0.45">
      <c r="A58" t="s">
        <v>174</v>
      </c>
      <c r="B58" t="s">
        <v>175</v>
      </c>
      <c r="C58" t="s">
        <v>170</v>
      </c>
      <c r="D58">
        <v>0.48</v>
      </c>
      <c r="F58" t="s">
        <v>78</v>
      </c>
    </row>
    <row r="59" spans="1:6" x14ac:dyDescent="0.45">
      <c r="A59" t="s">
        <v>176</v>
      </c>
      <c r="B59" t="s">
        <v>43</v>
      </c>
      <c r="C59" t="s">
        <v>177</v>
      </c>
      <c r="D59">
        <v>0.49</v>
      </c>
      <c r="F59" t="s">
        <v>78</v>
      </c>
    </row>
    <row r="60" spans="1:6" x14ac:dyDescent="0.45">
      <c r="A60" t="s">
        <v>178</v>
      </c>
      <c r="B60" t="s">
        <v>179</v>
      </c>
      <c r="C60" t="s">
        <v>180</v>
      </c>
      <c r="D60">
        <v>0.27</v>
      </c>
      <c r="F60" t="s">
        <v>78</v>
      </c>
    </row>
    <row r="61" spans="1:6" x14ac:dyDescent="0.45">
      <c r="A61" t="s">
        <v>171</v>
      </c>
      <c r="B61" t="s">
        <v>181</v>
      </c>
      <c r="C61" t="s">
        <v>182</v>
      </c>
      <c r="D61">
        <v>0.55000000000000004</v>
      </c>
      <c r="F61" t="s">
        <v>78</v>
      </c>
    </row>
    <row r="62" spans="1:6" x14ac:dyDescent="0.45">
      <c r="A62" t="s">
        <v>183</v>
      </c>
      <c r="B62" t="s">
        <v>184</v>
      </c>
      <c r="C62" t="s">
        <v>185</v>
      </c>
      <c r="D62">
        <v>0.13</v>
      </c>
      <c r="E62">
        <v>-6</v>
      </c>
      <c r="F62" t="s">
        <v>186</v>
      </c>
    </row>
    <row r="63" spans="1:6" x14ac:dyDescent="0.45">
      <c r="A63" t="s">
        <v>187</v>
      </c>
      <c r="B63" t="s">
        <v>188</v>
      </c>
      <c r="C63" t="s">
        <v>189</v>
      </c>
      <c r="D63">
        <v>0.54</v>
      </c>
      <c r="E63">
        <v>-10</v>
      </c>
      <c r="F63" t="s">
        <v>190</v>
      </c>
    </row>
    <row r="64" spans="1:6" x14ac:dyDescent="0.45">
      <c r="A64" t="s">
        <v>191</v>
      </c>
      <c r="B64" t="s">
        <v>192</v>
      </c>
      <c r="C64" t="s">
        <v>193</v>
      </c>
      <c r="D64">
        <v>0.55000000000000004</v>
      </c>
      <c r="E64">
        <v>-13</v>
      </c>
      <c r="F64" t="s">
        <v>194</v>
      </c>
    </row>
    <row r="65" spans="1:6" x14ac:dyDescent="0.45">
      <c r="A65" t="s">
        <v>195</v>
      </c>
      <c r="B65" t="s">
        <v>196</v>
      </c>
      <c r="C65" t="s">
        <v>197</v>
      </c>
      <c r="D65">
        <v>0.49</v>
      </c>
      <c r="E65">
        <v>-69</v>
      </c>
      <c r="F65" t="s">
        <v>198</v>
      </c>
    </row>
    <row r="66" spans="1:6" x14ac:dyDescent="0.45">
      <c r="A66" t="s">
        <v>199</v>
      </c>
      <c r="B66" t="s">
        <v>200</v>
      </c>
      <c r="C66" t="s">
        <v>201</v>
      </c>
      <c r="D66">
        <v>0.52</v>
      </c>
      <c r="E66">
        <v>-15</v>
      </c>
      <c r="F66" t="s">
        <v>202</v>
      </c>
    </row>
    <row r="67" spans="1:6" x14ac:dyDescent="0.45">
      <c r="A67" t="s">
        <v>203</v>
      </c>
      <c r="B67" t="s">
        <v>204</v>
      </c>
      <c r="C67" t="s">
        <v>205</v>
      </c>
      <c r="D67">
        <v>0.22</v>
      </c>
      <c r="E67">
        <v>-16</v>
      </c>
      <c r="F67" t="s">
        <v>206</v>
      </c>
    </row>
    <row r="68" spans="1:6" x14ac:dyDescent="0.45">
      <c r="A68" t="s">
        <v>207</v>
      </c>
      <c r="B68" t="s">
        <v>45</v>
      </c>
      <c r="C68" t="s">
        <v>208</v>
      </c>
      <c r="D68">
        <v>0.45</v>
      </c>
      <c r="E68">
        <v>-6</v>
      </c>
      <c r="F68" t="s">
        <v>209</v>
      </c>
    </row>
    <row r="69" spans="1:6" x14ac:dyDescent="0.45">
      <c r="A69" t="s">
        <v>210</v>
      </c>
      <c r="B69" t="s">
        <v>211</v>
      </c>
      <c r="C69" t="s">
        <v>145</v>
      </c>
      <c r="D69">
        <v>0.5</v>
      </c>
      <c r="E69">
        <v>-7</v>
      </c>
      <c r="F69" t="s">
        <v>212</v>
      </c>
    </row>
    <row r="70" spans="1:6" x14ac:dyDescent="0.45">
      <c r="A70" t="s">
        <v>213</v>
      </c>
      <c r="B70" t="s">
        <v>214</v>
      </c>
      <c r="C70" t="s">
        <v>215</v>
      </c>
      <c r="D70">
        <v>0.39</v>
      </c>
      <c r="E70">
        <v>-5</v>
      </c>
      <c r="F70" t="s">
        <v>190</v>
      </c>
    </row>
    <row r="71" spans="1:6" x14ac:dyDescent="0.45">
      <c r="A71" t="s">
        <v>216</v>
      </c>
      <c r="B71" t="s">
        <v>105</v>
      </c>
      <c r="C71" t="s">
        <v>217</v>
      </c>
      <c r="D71">
        <v>0.45</v>
      </c>
      <c r="E71">
        <v>-17</v>
      </c>
      <c r="F71" t="s">
        <v>218</v>
      </c>
    </row>
    <row r="72" spans="1:6" x14ac:dyDescent="0.45">
      <c r="A72" t="s">
        <v>219</v>
      </c>
      <c r="B72" t="s">
        <v>220</v>
      </c>
      <c r="C72" t="s">
        <v>221</v>
      </c>
      <c r="D72">
        <v>0.28999999999999998</v>
      </c>
      <c r="E72">
        <v>-5</v>
      </c>
      <c r="F72" t="s">
        <v>190</v>
      </c>
    </row>
    <row r="73" spans="1:6" x14ac:dyDescent="0.45">
      <c r="A73" t="s">
        <v>222</v>
      </c>
      <c r="B73" t="s">
        <v>223</v>
      </c>
      <c r="C73" t="s">
        <v>224</v>
      </c>
      <c r="D73">
        <v>0.43</v>
      </c>
      <c r="E73">
        <v>-6</v>
      </c>
      <c r="F73" t="s">
        <v>212</v>
      </c>
    </row>
    <row r="74" spans="1:6" x14ac:dyDescent="0.45">
      <c r="A74" t="s">
        <v>225</v>
      </c>
      <c r="B74" t="s">
        <v>226</v>
      </c>
      <c r="C74" t="s">
        <v>227</v>
      </c>
      <c r="D74">
        <v>0.43</v>
      </c>
      <c r="E74">
        <v>-5</v>
      </c>
      <c r="F74" t="s">
        <v>190</v>
      </c>
    </row>
    <row r="75" spans="1:6" x14ac:dyDescent="0.45">
      <c r="A75" t="s">
        <v>228</v>
      </c>
      <c r="B75" t="s">
        <v>229</v>
      </c>
      <c r="C75" t="s">
        <v>208</v>
      </c>
      <c r="D75">
        <v>0.47</v>
      </c>
      <c r="E75">
        <v>-6</v>
      </c>
      <c r="F75" t="s">
        <v>209</v>
      </c>
    </row>
    <row r="76" spans="1:6" x14ac:dyDescent="0.45">
      <c r="A76" t="s">
        <v>230</v>
      </c>
      <c r="B76" t="s">
        <v>231</v>
      </c>
      <c r="C76" t="s">
        <v>232</v>
      </c>
      <c r="D76">
        <v>0.47</v>
      </c>
      <c r="E76">
        <v>-7</v>
      </c>
      <c r="F76" t="s">
        <v>194</v>
      </c>
    </row>
    <row r="77" spans="1:6" x14ac:dyDescent="0.45">
      <c r="A77" t="s">
        <v>233</v>
      </c>
      <c r="B77" t="s">
        <v>234</v>
      </c>
      <c r="C77" t="s">
        <v>235</v>
      </c>
      <c r="D77">
        <v>0.47</v>
      </c>
      <c r="F77" t="s">
        <v>78</v>
      </c>
    </row>
    <row r="78" spans="1:6" x14ac:dyDescent="0.45">
      <c r="A78" t="s">
        <v>236</v>
      </c>
      <c r="B78" t="s">
        <v>237</v>
      </c>
      <c r="C78" t="s">
        <v>153</v>
      </c>
      <c r="D78">
        <v>0.43</v>
      </c>
      <c r="F78" t="s">
        <v>78</v>
      </c>
    </row>
    <row r="79" spans="1:6" x14ac:dyDescent="0.45">
      <c r="A79" t="s">
        <v>238</v>
      </c>
      <c r="B79" t="s">
        <v>239</v>
      </c>
      <c r="C79" t="s">
        <v>240</v>
      </c>
      <c r="D79">
        <v>0.04</v>
      </c>
      <c r="F79" t="s">
        <v>78</v>
      </c>
    </row>
    <row r="80" spans="1:6" x14ac:dyDescent="0.45">
      <c r="A80" t="s">
        <v>241</v>
      </c>
      <c r="B80" t="s">
        <v>242</v>
      </c>
      <c r="C80" t="s">
        <v>243</v>
      </c>
      <c r="D80">
        <v>0.49</v>
      </c>
      <c r="F80" t="s">
        <v>78</v>
      </c>
    </row>
    <row r="81" spans="1:6" x14ac:dyDescent="0.45">
      <c r="A81" t="s">
        <v>244</v>
      </c>
      <c r="B81" t="s">
        <v>245</v>
      </c>
      <c r="C81" t="s">
        <v>15</v>
      </c>
      <c r="D81">
        <v>0.46</v>
      </c>
      <c r="E81">
        <v>-1</v>
      </c>
      <c r="F81" t="s">
        <v>190</v>
      </c>
    </row>
    <row r="82" spans="1:6" x14ac:dyDescent="0.45">
      <c r="A82" t="s">
        <v>246</v>
      </c>
      <c r="B82" t="s">
        <v>247</v>
      </c>
      <c r="C82" t="s">
        <v>248</v>
      </c>
      <c r="D82">
        <v>0.49</v>
      </c>
      <c r="E82">
        <v>-1</v>
      </c>
      <c r="F82" t="s">
        <v>59</v>
      </c>
    </row>
    <row r="83" spans="1:6" x14ac:dyDescent="0.45">
      <c r="A83" t="s">
        <v>249</v>
      </c>
      <c r="B83" t="s">
        <v>250</v>
      </c>
      <c r="C83" t="s">
        <v>251</v>
      </c>
      <c r="D83">
        <v>0.36</v>
      </c>
      <c r="F83" t="s">
        <v>78</v>
      </c>
    </row>
    <row r="84" spans="1:6" x14ac:dyDescent="0.45">
      <c r="A84" t="s">
        <v>252</v>
      </c>
      <c r="B84" t="s">
        <v>253</v>
      </c>
      <c r="C84" t="s">
        <v>163</v>
      </c>
      <c r="D84">
        <v>0.02</v>
      </c>
      <c r="F84" t="s">
        <v>78</v>
      </c>
    </row>
    <row r="85" spans="1:6" x14ac:dyDescent="0.45">
      <c r="A85" t="s">
        <v>254</v>
      </c>
      <c r="B85" t="s">
        <v>255</v>
      </c>
      <c r="C85" t="s">
        <v>92</v>
      </c>
      <c r="D85">
        <v>0.49</v>
      </c>
      <c r="E85">
        <v>-1</v>
      </c>
      <c r="F85" t="s">
        <v>29</v>
      </c>
    </row>
    <row r="86" spans="1:6" x14ac:dyDescent="0.45">
      <c r="A86" t="s">
        <v>138</v>
      </c>
      <c r="B86" t="s">
        <v>139</v>
      </c>
      <c r="C86" t="s">
        <v>140</v>
      </c>
      <c r="D86">
        <v>0.42</v>
      </c>
      <c r="F86" t="s">
        <v>78</v>
      </c>
    </row>
    <row r="87" spans="1:6" x14ac:dyDescent="0.45">
      <c r="A87" t="s">
        <v>155</v>
      </c>
      <c r="B87" t="s">
        <v>256</v>
      </c>
      <c r="C87" t="s">
        <v>223</v>
      </c>
      <c r="D87">
        <v>0.49</v>
      </c>
      <c r="F87" t="s">
        <v>78</v>
      </c>
    </row>
    <row r="88" spans="1:6" x14ac:dyDescent="0.45">
      <c r="A88" t="s">
        <v>257</v>
      </c>
      <c r="B88" t="s">
        <v>258</v>
      </c>
      <c r="C88" t="s">
        <v>163</v>
      </c>
      <c r="D88">
        <v>0.14000000000000001</v>
      </c>
      <c r="F88" t="s">
        <v>78</v>
      </c>
    </row>
    <row r="89" spans="1:6" x14ac:dyDescent="0.45">
      <c r="A89" t="s">
        <v>259</v>
      </c>
      <c r="B89" t="s">
        <v>260</v>
      </c>
      <c r="C89" t="s">
        <v>261</v>
      </c>
      <c r="D89">
        <v>0.49</v>
      </c>
      <c r="F89" t="s">
        <v>78</v>
      </c>
    </row>
    <row r="90" spans="1:6" x14ac:dyDescent="0.45">
      <c r="A90" t="s">
        <v>262</v>
      </c>
      <c r="B90" t="s">
        <v>43</v>
      </c>
      <c r="C90" t="s">
        <v>173</v>
      </c>
      <c r="D90">
        <v>0.11</v>
      </c>
      <c r="F90" t="s">
        <v>78</v>
      </c>
    </row>
    <row r="91" spans="1:6" x14ac:dyDescent="0.45">
      <c r="A91" t="s">
        <v>176</v>
      </c>
      <c r="B91" t="s">
        <v>263</v>
      </c>
      <c r="C91" t="s">
        <v>264</v>
      </c>
      <c r="D91">
        <v>0.49</v>
      </c>
      <c r="F91" t="s">
        <v>78</v>
      </c>
    </row>
    <row r="92" spans="1:6" x14ac:dyDescent="0.45">
      <c r="A92" t="s">
        <v>265</v>
      </c>
      <c r="B92" t="s">
        <v>266</v>
      </c>
      <c r="C92" t="s">
        <v>163</v>
      </c>
      <c r="D92">
        <v>0.14000000000000001</v>
      </c>
      <c r="F92" t="s">
        <v>78</v>
      </c>
    </row>
    <row r="93" spans="1:6" x14ac:dyDescent="0.45">
      <c r="A93" t="s">
        <v>267</v>
      </c>
      <c r="B93" t="s">
        <v>268</v>
      </c>
      <c r="C93" t="s">
        <v>269</v>
      </c>
      <c r="D93">
        <v>0.43</v>
      </c>
      <c r="F93" t="s">
        <v>78</v>
      </c>
    </row>
    <row r="94" spans="1:6" x14ac:dyDescent="0.45">
      <c r="A94" t="s">
        <v>270</v>
      </c>
      <c r="B94" t="s">
        <v>271</v>
      </c>
      <c r="C94" t="s">
        <v>272</v>
      </c>
      <c r="D94">
        <v>0.5</v>
      </c>
      <c r="F94" t="s">
        <v>78</v>
      </c>
    </row>
    <row r="95" spans="1:6" x14ac:dyDescent="0.45">
      <c r="A95" t="s">
        <v>273</v>
      </c>
      <c r="B95" t="s">
        <v>274</v>
      </c>
      <c r="C95" t="s">
        <v>185</v>
      </c>
      <c r="D95">
        <v>0.48</v>
      </c>
      <c r="F95" t="s">
        <v>78</v>
      </c>
    </row>
    <row r="96" spans="1:6" x14ac:dyDescent="0.45">
      <c r="A96" t="s">
        <v>275</v>
      </c>
      <c r="B96" t="s">
        <v>276</v>
      </c>
      <c r="C96" t="s">
        <v>277</v>
      </c>
      <c r="D96">
        <v>0.48</v>
      </c>
      <c r="F96" t="s">
        <v>78</v>
      </c>
    </row>
    <row r="97" spans="1:6" x14ac:dyDescent="0.45">
      <c r="A97" t="s">
        <v>278</v>
      </c>
      <c r="B97" t="s">
        <v>227</v>
      </c>
      <c r="C97" t="s">
        <v>163</v>
      </c>
      <c r="D97">
        <v>0.47</v>
      </c>
      <c r="F97" t="s">
        <v>78</v>
      </c>
    </row>
    <row r="98" spans="1:6" x14ac:dyDescent="0.45">
      <c r="A98" t="s">
        <v>278</v>
      </c>
      <c r="B98" t="s">
        <v>227</v>
      </c>
      <c r="C98" t="s">
        <v>163</v>
      </c>
      <c r="D98">
        <v>0.47</v>
      </c>
      <c r="F98" t="s">
        <v>78</v>
      </c>
    </row>
    <row r="99" spans="1:6" x14ac:dyDescent="0.45">
      <c r="A99" t="s">
        <v>279</v>
      </c>
      <c r="B99" t="s">
        <v>153</v>
      </c>
      <c r="C99" t="s">
        <v>280</v>
      </c>
      <c r="D99">
        <v>0.5</v>
      </c>
      <c r="F99" t="s">
        <v>78</v>
      </c>
    </row>
    <row r="100" spans="1:6" x14ac:dyDescent="0.45">
      <c r="A100" t="s">
        <v>281</v>
      </c>
      <c r="B100" t="s">
        <v>282</v>
      </c>
      <c r="C100" t="s">
        <v>162</v>
      </c>
      <c r="D100">
        <v>0.08</v>
      </c>
      <c r="F100" t="s">
        <v>78</v>
      </c>
    </row>
    <row r="101" spans="1:6" x14ac:dyDescent="0.45">
      <c r="A101" t="s">
        <v>283</v>
      </c>
      <c r="B101" t="s">
        <v>284</v>
      </c>
      <c r="C101" t="s">
        <v>168</v>
      </c>
      <c r="D101">
        <v>0.02</v>
      </c>
      <c r="F101" t="s">
        <v>78</v>
      </c>
    </row>
    <row r="102" spans="1:6" x14ac:dyDescent="0.45">
      <c r="A102" t="s">
        <v>285</v>
      </c>
      <c r="B102" t="s">
        <v>286</v>
      </c>
      <c r="C102" t="s">
        <v>287</v>
      </c>
      <c r="D102">
        <v>0.49</v>
      </c>
      <c r="F102" t="s">
        <v>78</v>
      </c>
    </row>
    <row r="103" spans="1:6" x14ac:dyDescent="0.45">
      <c r="A103" t="s">
        <v>288</v>
      </c>
      <c r="B103" t="s">
        <v>289</v>
      </c>
      <c r="C103" t="s">
        <v>67</v>
      </c>
      <c r="D103">
        <v>0.04</v>
      </c>
      <c r="F103" t="s">
        <v>78</v>
      </c>
    </row>
    <row r="104" spans="1:6" x14ac:dyDescent="0.45">
      <c r="A104" t="s">
        <v>290</v>
      </c>
      <c r="B104" t="s">
        <v>291</v>
      </c>
      <c r="C104" t="s">
        <v>292</v>
      </c>
      <c r="D104">
        <v>0.49</v>
      </c>
      <c r="F104" t="s">
        <v>78</v>
      </c>
    </row>
    <row r="105" spans="1:6" x14ac:dyDescent="0.45">
      <c r="A105" t="s">
        <v>293</v>
      </c>
      <c r="B105" t="s">
        <v>294</v>
      </c>
      <c r="C105" t="s">
        <v>295</v>
      </c>
      <c r="D105">
        <v>0.42</v>
      </c>
      <c r="F105" t="s">
        <v>78</v>
      </c>
    </row>
    <row r="106" spans="1:6" x14ac:dyDescent="0.45">
      <c r="A106" t="s">
        <v>296</v>
      </c>
      <c r="B106" t="s">
        <v>297</v>
      </c>
      <c r="C106" t="s">
        <v>298</v>
      </c>
      <c r="D106">
        <v>0.21</v>
      </c>
      <c r="E106">
        <v>-1</v>
      </c>
      <c r="F106" t="s">
        <v>59</v>
      </c>
    </row>
    <row r="107" spans="1:6" x14ac:dyDescent="0.45">
      <c r="A107" t="s">
        <v>299</v>
      </c>
      <c r="B107" t="s">
        <v>300</v>
      </c>
      <c r="C107" t="s">
        <v>301</v>
      </c>
      <c r="D107">
        <v>0.41</v>
      </c>
      <c r="F107" t="s">
        <v>78</v>
      </c>
    </row>
    <row r="108" spans="1:6" x14ac:dyDescent="0.45">
      <c r="A108" t="s">
        <v>302</v>
      </c>
      <c r="B108" t="s">
        <v>303</v>
      </c>
      <c r="C108" t="s">
        <v>304</v>
      </c>
      <c r="D108">
        <v>0.01</v>
      </c>
      <c r="F108" t="s">
        <v>78</v>
      </c>
    </row>
    <row r="109" spans="1:6" x14ac:dyDescent="0.45">
      <c r="A109" t="s">
        <v>305</v>
      </c>
      <c r="B109" t="s">
        <v>306</v>
      </c>
      <c r="C109" t="s">
        <v>307</v>
      </c>
      <c r="D109">
        <v>0.24</v>
      </c>
      <c r="F109" t="s">
        <v>78</v>
      </c>
    </row>
    <row r="110" spans="1:6" x14ac:dyDescent="0.45">
      <c r="A110" t="s">
        <v>308</v>
      </c>
      <c r="B110" t="s">
        <v>309</v>
      </c>
      <c r="C110" t="s">
        <v>310</v>
      </c>
      <c r="D110">
        <v>0.34</v>
      </c>
      <c r="F110" t="s">
        <v>78</v>
      </c>
    </row>
    <row r="111" spans="1:6" x14ac:dyDescent="0.45">
      <c r="A111" t="s">
        <v>311</v>
      </c>
      <c r="B111" t="s">
        <v>147</v>
      </c>
      <c r="C111" t="s">
        <v>312</v>
      </c>
      <c r="D111">
        <v>0.34</v>
      </c>
      <c r="F111" t="s">
        <v>78</v>
      </c>
    </row>
    <row r="112" spans="1:6" x14ac:dyDescent="0.45">
      <c r="A112" t="s">
        <v>313</v>
      </c>
      <c r="B112" t="s">
        <v>314</v>
      </c>
      <c r="C112" t="s">
        <v>163</v>
      </c>
      <c r="D112">
        <v>0.02</v>
      </c>
      <c r="F112" t="s">
        <v>78</v>
      </c>
    </row>
    <row r="113" spans="1:6" x14ac:dyDescent="0.45">
      <c r="A113" t="s">
        <v>315</v>
      </c>
      <c r="B113" t="s">
        <v>316</v>
      </c>
      <c r="C113" t="s">
        <v>240</v>
      </c>
      <c r="D113">
        <v>0.02</v>
      </c>
      <c r="F113" t="s">
        <v>78</v>
      </c>
    </row>
    <row r="114" spans="1:6" x14ac:dyDescent="0.45">
      <c r="A114" t="s">
        <v>317</v>
      </c>
      <c r="B114" t="s">
        <v>156</v>
      </c>
      <c r="C114" t="s">
        <v>318</v>
      </c>
      <c r="D114">
        <v>0.64</v>
      </c>
      <c r="F114" t="s">
        <v>78</v>
      </c>
    </row>
    <row r="115" spans="1:6" x14ac:dyDescent="0.45">
      <c r="A115" t="s">
        <v>319</v>
      </c>
      <c r="B115" t="s">
        <v>243</v>
      </c>
      <c r="C115" t="s">
        <v>173</v>
      </c>
      <c r="D115">
        <v>0.5</v>
      </c>
      <c r="E115">
        <v>-1</v>
      </c>
      <c r="F115" t="s">
        <v>320</v>
      </c>
    </row>
    <row r="116" spans="1:6" x14ac:dyDescent="0.45">
      <c r="A116" t="s">
        <v>321</v>
      </c>
      <c r="B116" t="s">
        <v>322</v>
      </c>
      <c r="C116" t="s">
        <v>323</v>
      </c>
      <c r="D116">
        <v>0.47</v>
      </c>
      <c r="F116"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54CF-008D-4636-9B22-3053EC1EBF8E}">
  <dimension ref="A1:J118"/>
  <sheetViews>
    <sheetView workbookViewId="0">
      <selection activeCell="I1" activeCellId="1" sqref="B1:B1048576 I1:I1048576"/>
    </sheetView>
  </sheetViews>
  <sheetFormatPr defaultRowHeight="14.25" x14ac:dyDescent="0.45"/>
  <cols>
    <col min="1" max="1" width="60.6640625" customWidth="1"/>
    <col min="2" max="2" width="17.86328125" style="1" customWidth="1"/>
    <col min="3" max="3" width="17.86328125" style="1" bestFit="1" customWidth="1"/>
    <col min="4" max="4" width="14.53125" bestFit="1" customWidth="1"/>
    <col min="5" max="5" width="17.86328125" style="1" customWidth="1"/>
    <col min="6" max="6" width="10" style="2" bestFit="1" customWidth="1"/>
    <col min="7" max="7" width="17.53125" bestFit="1" customWidth="1"/>
    <col min="8" max="8" width="8.73046875" style="45" bestFit="1" customWidth="1"/>
    <col min="9" max="9" width="9.3984375" style="44" bestFit="1" customWidth="1"/>
    <col min="10" max="10" width="15.46484375" bestFit="1" customWidth="1"/>
    <col min="12" max="12" width="14.53125" bestFit="1" customWidth="1"/>
  </cols>
  <sheetData>
    <row r="1" spans="1:10" x14ac:dyDescent="0.45">
      <c r="A1" t="s">
        <v>0</v>
      </c>
      <c r="B1" s="1" t="s">
        <v>333</v>
      </c>
      <c r="C1" s="1" t="s">
        <v>332</v>
      </c>
      <c r="D1" t="s">
        <v>349</v>
      </c>
      <c r="E1" s="1" t="s">
        <v>331</v>
      </c>
      <c r="F1" s="2" t="s">
        <v>3</v>
      </c>
      <c r="G1" t="s">
        <v>350</v>
      </c>
      <c r="H1" s="45" t="s">
        <v>4</v>
      </c>
      <c r="I1" s="44" t="s">
        <v>334</v>
      </c>
      <c r="J1" t="s">
        <v>348</v>
      </c>
    </row>
    <row r="2" spans="1:10" x14ac:dyDescent="0.45">
      <c r="A2" t="s">
        <v>317</v>
      </c>
      <c r="B2" s="1">
        <v>199</v>
      </c>
      <c r="C2" s="1">
        <v>553</v>
      </c>
      <c r="D2" t="str">
        <f>IF(Excel_jumia_dataset3[[#This Row],[Current Price]]="","Missing",IF(Excel_jumia_dataset3[[#This Row],[Current Price]]&lt;Data_Analysis!$B$21,"Low Price",IF(Excel_jumia_dataset3[[#This Row],[Current Price]]&lt;Data_Analysis!$B$22,"Medium Price","High Price")))</f>
        <v>Low Price</v>
      </c>
      <c r="E2" s="1">
        <f>Excel_jumia_dataset3[[#This Row],[Old Price]]-Excel_jumia_dataset3[[#This Row],[Current Price]]</f>
        <v>354</v>
      </c>
      <c r="F2" s="2">
        <v>0.64</v>
      </c>
      <c r="G2" t="str">
        <f>IF(F2&lt;20%,"Low Discount",IF(F2&lt;=40%,"Medium Discount", "High Discount"))</f>
        <v>High Discount</v>
      </c>
      <c r="I2" s="44" t="s">
        <v>78</v>
      </c>
      <c r="J2" t="s">
        <v>428</v>
      </c>
    </row>
    <row r="3" spans="1:10" x14ac:dyDescent="0.45">
      <c r="A3" t="s">
        <v>155</v>
      </c>
      <c r="B3" s="1">
        <v>199</v>
      </c>
      <c r="C3" s="1">
        <v>504</v>
      </c>
      <c r="D3" t="str">
        <f>IF(Excel_jumia_dataset3[[#This Row],[Current Price]]="","Missing",IF(Excel_jumia_dataset3[[#This Row],[Current Price]]&lt;Data_Analysis!$B$21,"Low Price",IF(Excel_jumia_dataset3[[#This Row],[Current Price]]&lt;Data_Analysis!$B$22,"Medium Price","High Price")))</f>
        <v>Low Price</v>
      </c>
      <c r="E3" s="1">
        <f>Excel_jumia_dataset3[[#This Row],[Old Price]]-Excel_jumia_dataset3[[#This Row],[Current Price]]</f>
        <v>305</v>
      </c>
      <c r="F3" s="2">
        <v>0.61</v>
      </c>
      <c r="G3" t="str">
        <f>IF(F3&lt;20%,"Low Discount",IF(F3&lt;=40%,"Medium Discount", "High Discount"))</f>
        <v>High Discount</v>
      </c>
      <c r="I3" s="44" t="s">
        <v>78</v>
      </c>
      <c r="J3" t="s">
        <v>428</v>
      </c>
    </row>
    <row r="4" spans="1:10" x14ac:dyDescent="0.45">
      <c r="A4" t="s">
        <v>171</v>
      </c>
      <c r="B4" s="1">
        <v>399</v>
      </c>
      <c r="C4" s="1">
        <v>896</v>
      </c>
      <c r="D4" t="str">
        <f>IF(Excel_jumia_dataset3[[#This Row],[Current Price]]="","Missing",IF(Excel_jumia_dataset3[[#This Row],[Current Price]]&lt;Data_Analysis!$B$21,"Low Price",IF(Excel_jumia_dataset3[[#This Row],[Current Price]]&lt;Data_Analysis!$B$22,"Medium Price","High Price")))</f>
        <v>Low Price</v>
      </c>
      <c r="E4" s="1">
        <f>Excel_jumia_dataset3[[#This Row],[Old Price]]-Excel_jumia_dataset3[[#This Row],[Current Price]]</f>
        <v>497</v>
      </c>
      <c r="F4" s="2">
        <v>0.55000000000000004</v>
      </c>
      <c r="G4" t="str">
        <f>IF(F4&lt;20%,"Low Discount",IF(F4&lt;=40%,"Medium Discount", "High Discount"))</f>
        <v>High Discount</v>
      </c>
      <c r="I4" s="44" t="s">
        <v>78</v>
      </c>
      <c r="J4" t="s">
        <v>428</v>
      </c>
    </row>
    <row r="5" spans="1:10" x14ac:dyDescent="0.45">
      <c r="A5" t="s">
        <v>279</v>
      </c>
      <c r="B5" s="1">
        <v>1200</v>
      </c>
      <c r="C5" s="1">
        <v>2400</v>
      </c>
      <c r="D5" t="str">
        <f>IF(Excel_jumia_dataset3[[#This Row],[Current Price]]="","Missing",IF(Excel_jumia_dataset3[[#This Row],[Current Price]]&lt;Data_Analysis!$B$21,"Low Price",IF(Excel_jumia_dataset3[[#This Row],[Current Price]]&lt;Data_Analysis!$B$22,"Medium Price","High Price")))</f>
        <v>Medium Price</v>
      </c>
      <c r="E5" s="1">
        <f>Excel_jumia_dataset3[[#This Row],[Old Price]]-Excel_jumia_dataset3[[#This Row],[Current Price]]</f>
        <v>1200</v>
      </c>
      <c r="F5" s="2">
        <v>0.5</v>
      </c>
      <c r="G5" t="str">
        <f>IF(F5&lt;20%,"Low Discount",IF(F5&lt;=40%,"Medium Discount", "High Discount"))</f>
        <v>High Discount</v>
      </c>
      <c r="I5" s="44" t="s">
        <v>78</v>
      </c>
      <c r="J5" t="s">
        <v>428</v>
      </c>
    </row>
    <row r="6" spans="1:10" x14ac:dyDescent="0.45">
      <c r="A6" t="s">
        <v>144</v>
      </c>
      <c r="B6" s="1">
        <v>999</v>
      </c>
      <c r="C6" s="1">
        <v>2000</v>
      </c>
      <c r="D6" t="str">
        <f>IF(Excel_jumia_dataset3[[#This Row],[Current Price]]="","Missing",IF(Excel_jumia_dataset3[[#This Row],[Current Price]]&lt;Data_Analysis!$B$21,"Low Price",IF(Excel_jumia_dataset3[[#This Row],[Current Price]]&lt;Data_Analysis!$B$22,"Medium Price","High Price")))</f>
        <v>Medium Price</v>
      </c>
      <c r="E6" s="1">
        <f>Excel_jumia_dataset3[[#This Row],[Old Price]]-Excel_jumia_dataset3[[#This Row],[Current Price]]</f>
        <v>1001</v>
      </c>
      <c r="F6" s="2">
        <v>0.5</v>
      </c>
      <c r="G6" t="str">
        <f>IF(F6&lt;20%,"Low Discount",IF(F6&lt;=40%,"Medium Discount", "High Discount"))</f>
        <v>High Discount</v>
      </c>
      <c r="I6" s="44" t="s">
        <v>78</v>
      </c>
      <c r="J6" t="s">
        <v>428</v>
      </c>
    </row>
    <row r="7" spans="1:10" x14ac:dyDescent="0.45">
      <c r="A7" t="s">
        <v>270</v>
      </c>
      <c r="B7" s="1">
        <v>850</v>
      </c>
      <c r="C7" s="1">
        <v>1700</v>
      </c>
      <c r="D7" t="str">
        <f>IF(Excel_jumia_dataset3[[#This Row],[Current Price]]="","Missing",IF(Excel_jumia_dataset3[[#This Row],[Current Price]]&lt;Data_Analysis!$B$21,"Low Price",IF(Excel_jumia_dataset3[[#This Row],[Current Price]]&lt;Data_Analysis!$B$22,"Medium Price","High Price")))</f>
        <v>Medium Price</v>
      </c>
      <c r="E7" s="1">
        <f>Excel_jumia_dataset3[[#This Row],[Old Price]]-Excel_jumia_dataset3[[#This Row],[Current Price]]</f>
        <v>850</v>
      </c>
      <c r="F7" s="2">
        <v>0.5</v>
      </c>
      <c r="G7" t="str">
        <f>IF(F7&lt;20%,"Low Discount",IF(F7&lt;=40%,"Medium Discount", "High Discount"))</f>
        <v>High Discount</v>
      </c>
      <c r="I7" s="44" t="s">
        <v>78</v>
      </c>
      <c r="J7" t="s">
        <v>428</v>
      </c>
    </row>
    <row r="8" spans="1:10" x14ac:dyDescent="0.45">
      <c r="A8" t="s">
        <v>158</v>
      </c>
      <c r="B8" s="1">
        <v>299</v>
      </c>
      <c r="C8" s="1">
        <v>600</v>
      </c>
      <c r="D8" t="str">
        <f>IF(Excel_jumia_dataset3[[#This Row],[Current Price]]="","Missing",IF(Excel_jumia_dataset3[[#This Row],[Current Price]]&lt;Data_Analysis!$B$21,"Low Price",IF(Excel_jumia_dataset3[[#This Row],[Current Price]]&lt;Data_Analysis!$B$22,"Medium Price","High Price")))</f>
        <v>Low Price</v>
      </c>
      <c r="E8" s="1">
        <f>Excel_jumia_dataset3[[#This Row],[Old Price]]-Excel_jumia_dataset3[[#This Row],[Current Price]]</f>
        <v>301</v>
      </c>
      <c r="F8" s="2">
        <v>0.5</v>
      </c>
      <c r="G8" t="str">
        <f>IF(F8&lt;20%,"Low Discount",IF(F8&lt;=40%,"Medium Discount", "High Discount"))</f>
        <v>High Discount</v>
      </c>
      <c r="I8" s="44" t="s">
        <v>78</v>
      </c>
      <c r="J8" t="s">
        <v>428</v>
      </c>
    </row>
    <row r="9" spans="1:10" x14ac:dyDescent="0.45">
      <c r="A9" t="s">
        <v>135</v>
      </c>
      <c r="B9" s="1">
        <v>238</v>
      </c>
      <c r="C9" s="1">
        <v>476</v>
      </c>
      <c r="D9" t="str">
        <f>IF(Excel_jumia_dataset3[[#This Row],[Current Price]]="","Missing",IF(Excel_jumia_dataset3[[#This Row],[Current Price]]&lt;Data_Analysis!$B$21,"Low Price",IF(Excel_jumia_dataset3[[#This Row],[Current Price]]&lt;Data_Analysis!$B$22,"Medium Price","High Price")))</f>
        <v>Low Price</v>
      </c>
      <c r="E9" s="1">
        <f>Excel_jumia_dataset3[[#This Row],[Old Price]]-Excel_jumia_dataset3[[#This Row],[Current Price]]</f>
        <v>238</v>
      </c>
      <c r="F9" s="2">
        <v>0.5</v>
      </c>
      <c r="G9" t="str">
        <f>IF(F9&lt;20%,"Low Discount",IF(F9&lt;=40%,"Medium Discount", "High Discount"))</f>
        <v>High Discount</v>
      </c>
      <c r="I9" s="44" t="s">
        <v>78</v>
      </c>
      <c r="J9" t="s">
        <v>428</v>
      </c>
    </row>
    <row r="10" spans="1:10" x14ac:dyDescent="0.45">
      <c r="A10" t="s">
        <v>176</v>
      </c>
      <c r="B10" s="1">
        <v>799</v>
      </c>
      <c r="C10" s="1">
        <v>1567</v>
      </c>
      <c r="D10" t="str">
        <f>IF(Excel_jumia_dataset3[[#This Row],[Current Price]]="","Missing",IF(Excel_jumia_dataset3[[#This Row],[Current Price]]&lt;Data_Analysis!$B$21,"Low Price",IF(Excel_jumia_dataset3[[#This Row],[Current Price]]&lt;Data_Analysis!$B$22,"Medium Price","High Price")))</f>
        <v>Medium Price</v>
      </c>
      <c r="E10" s="1">
        <f>Excel_jumia_dataset3[[#This Row],[Old Price]]-Excel_jumia_dataset3[[#This Row],[Current Price]]</f>
        <v>768</v>
      </c>
      <c r="F10" s="2">
        <v>0.49</v>
      </c>
      <c r="G10" t="str">
        <f>IF(F10&lt;20%,"Low Discount",IF(F10&lt;=40%,"Medium Discount", "High Discount"))</f>
        <v>High Discount</v>
      </c>
      <c r="I10" s="44" t="s">
        <v>78</v>
      </c>
      <c r="J10" t="s">
        <v>428</v>
      </c>
    </row>
    <row r="11" spans="1:10" x14ac:dyDescent="0.45">
      <c r="A11" t="s">
        <v>149</v>
      </c>
      <c r="B11" s="1">
        <v>671</v>
      </c>
      <c r="C11" s="1">
        <v>1316</v>
      </c>
      <c r="D11" t="str">
        <f>IF(Excel_jumia_dataset3[[#This Row],[Current Price]]="","Missing",IF(Excel_jumia_dataset3[[#This Row],[Current Price]]&lt;Data_Analysis!$B$21,"Low Price",IF(Excel_jumia_dataset3[[#This Row],[Current Price]]&lt;Data_Analysis!$B$22,"Medium Price","High Price")))</f>
        <v>Medium Price</v>
      </c>
      <c r="E11" s="1">
        <f>Excel_jumia_dataset3[[#This Row],[Old Price]]-Excel_jumia_dataset3[[#This Row],[Current Price]]</f>
        <v>645</v>
      </c>
      <c r="F11" s="2">
        <v>0.49</v>
      </c>
      <c r="G11" t="str">
        <f>IF(F11&lt;20%,"Low Discount",IF(F11&lt;=40%,"Medium Discount", "High Discount"))</f>
        <v>High Discount</v>
      </c>
      <c r="I11" s="44" t="s">
        <v>78</v>
      </c>
      <c r="J11" t="s">
        <v>428</v>
      </c>
    </row>
    <row r="12" spans="1:10" x14ac:dyDescent="0.45">
      <c r="A12" t="s">
        <v>176</v>
      </c>
      <c r="B12" s="1">
        <v>657</v>
      </c>
      <c r="C12" s="1">
        <v>1288</v>
      </c>
      <c r="D12" t="str">
        <f>IF(Excel_jumia_dataset3[[#This Row],[Current Price]]="","Missing",IF(Excel_jumia_dataset3[[#This Row],[Current Price]]&lt;Data_Analysis!$B$21,"Low Price",IF(Excel_jumia_dataset3[[#This Row],[Current Price]]&lt;Data_Analysis!$B$22,"Medium Price","High Price")))</f>
        <v>Medium Price</v>
      </c>
      <c r="E12" s="1">
        <f>Excel_jumia_dataset3[[#This Row],[Old Price]]-Excel_jumia_dataset3[[#This Row],[Current Price]]</f>
        <v>631</v>
      </c>
      <c r="F12" s="2">
        <v>0.49</v>
      </c>
      <c r="G12" t="str">
        <f>IF(F12&lt;20%,"Low Discount",IF(F12&lt;=40%,"Medium Discount", "High Discount"))</f>
        <v>High Discount</v>
      </c>
      <c r="I12" s="44" t="s">
        <v>78</v>
      </c>
      <c r="J12" t="s">
        <v>428</v>
      </c>
    </row>
    <row r="13" spans="1:10" x14ac:dyDescent="0.45">
      <c r="A13" t="s">
        <v>26</v>
      </c>
      <c r="B13" s="1">
        <v>2999</v>
      </c>
      <c r="C13" s="1">
        <v>3290</v>
      </c>
      <c r="D13" t="str">
        <f>IF(Excel_jumia_dataset3[[#This Row],[Current Price]]="","Missing",IF(Excel_jumia_dataset3[[#This Row],[Current Price]]&lt;Data_Analysis!$B$21,"Low Price",IF(Excel_jumia_dataset3[[#This Row],[Current Price]]&lt;Data_Analysis!$B$22,"Medium Price","High Price")))</f>
        <v>High Price</v>
      </c>
      <c r="E13" s="1">
        <f>Excel_jumia_dataset3[[#This Row],[Old Price]]-Excel_jumia_dataset3[[#This Row],[Current Price]]</f>
        <v>291</v>
      </c>
      <c r="F13" s="2">
        <v>0.09</v>
      </c>
      <c r="G13" t="str">
        <f>IF(F13&lt;20%,"Low Discount",IF(F13&lt;=40%,"Medium Discount", "High Discount"))</f>
        <v>Low Discount</v>
      </c>
      <c r="H13" s="45">
        <v>15</v>
      </c>
      <c r="I13" s="44">
        <v>4</v>
      </c>
      <c r="J13" t="str">
        <f>IF(ISBLANK(I13),"",IF(I13&lt;3,"Poor",IF(I13&gt;=4.5,"Excellent","Average")))</f>
        <v>Average</v>
      </c>
    </row>
    <row r="14" spans="1:10" x14ac:dyDescent="0.45">
      <c r="A14" t="s">
        <v>290</v>
      </c>
      <c r="B14" s="1">
        <v>525</v>
      </c>
      <c r="C14" s="1">
        <v>1029</v>
      </c>
      <c r="D14" t="str">
        <f>IF(Excel_jumia_dataset3[[#This Row],[Current Price]]="","Missing",IF(Excel_jumia_dataset3[[#This Row],[Current Price]]&lt;Data_Analysis!$B$21,"Low Price",IF(Excel_jumia_dataset3[[#This Row],[Current Price]]&lt;Data_Analysis!$B$22,"Medium Price","High Price")))</f>
        <v>Medium Price</v>
      </c>
      <c r="E14" s="1">
        <f>Excel_jumia_dataset3[[#This Row],[Old Price]]-Excel_jumia_dataset3[[#This Row],[Current Price]]</f>
        <v>504</v>
      </c>
      <c r="F14" s="2">
        <v>0.49</v>
      </c>
      <c r="G14" t="str">
        <f>IF(F14&lt;20%,"Low Discount",IF(F14&lt;=40%,"Medium Discount", "High Discount"))</f>
        <v>High Discount</v>
      </c>
      <c r="I14" s="44" t="s">
        <v>78</v>
      </c>
      <c r="J14" t="s">
        <v>428</v>
      </c>
    </row>
    <row r="15" spans="1:10" x14ac:dyDescent="0.45">
      <c r="A15" t="s">
        <v>183</v>
      </c>
      <c r="B15" s="1">
        <v>2170</v>
      </c>
      <c r="C15" s="1">
        <v>2500</v>
      </c>
      <c r="D15" t="str">
        <f>IF(Excel_jumia_dataset3[[#This Row],[Current Price]]="","Missing",IF(Excel_jumia_dataset3[[#This Row],[Current Price]]&lt;Data_Analysis!$B$21,"Low Price",IF(Excel_jumia_dataset3[[#This Row],[Current Price]]&lt;Data_Analysis!$B$22,"Medium Price","High Price")))</f>
        <v>High Price</v>
      </c>
      <c r="E15" s="1">
        <f>Excel_jumia_dataset3[[#This Row],[Old Price]]-Excel_jumia_dataset3[[#This Row],[Current Price]]</f>
        <v>330</v>
      </c>
      <c r="F15" s="2">
        <v>0.13</v>
      </c>
      <c r="G15" t="str">
        <f>IF(F15&lt;20%,"Low Discount",IF(F15&lt;=40%,"Medium Discount", "High Discount"))</f>
        <v>Low Discount</v>
      </c>
      <c r="H15" s="45">
        <v>6</v>
      </c>
      <c r="I15" s="44">
        <v>2.5</v>
      </c>
      <c r="J15" t="str">
        <f>IF(ISBLANK(I15),"",IF(I15&lt;3,"Poor",IF(I15&gt;=4.5,"Excellent","Average")))</f>
        <v>Poor</v>
      </c>
    </row>
    <row r="16" spans="1:10" x14ac:dyDescent="0.45">
      <c r="A16" t="s">
        <v>132</v>
      </c>
      <c r="B16" s="1">
        <v>475</v>
      </c>
      <c r="C16" s="1">
        <v>931</v>
      </c>
      <c r="D16" t="str">
        <f>IF(Excel_jumia_dataset3[[#This Row],[Current Price]]="","Missing",IF(Excel_jumia_dataset3[[#This Row],[Current Price]]&lt;Data_Analysis!$B$21,"Low Price",IF(Excel_jumia_dataset3[[#This Row],[Current Price]]&lt;Data_Analysis!$B$22,"Medium Price","High Price")))</f>
        <v>Low Price</v>
      </c>
      <c r="E16" s="1">
        <f>Excel_jumia_dataset3[[#This Row],[Old Price]]-Excel_jumia_dataset3[[#This Row],[Current Price]]</f>
        <v>456</v>
      </c>
      <c r="F16" s="2">
        <v>0.49</v>
      </c>
      <c r="G16" t="str">
        <f>IF(F16&lt;20%,"Low Discount",IF(F16&lt;=40%,"Medium Discount", "High Discount"))</f>
        <v>High Discount</v>
      </c>
      <c r="I16" s="44" t="s">
        <v>78</v>
      </c>
      <c r="J16" t="s">
        <v>428</v>
      </c>
    </row>
    <row r="17" spans="1:10" x14ac:dyDescent="0.45">
      <c r="A17" t="s">
        <v>259</v>
      </c>
      <c r="B17" s="1">
        <v>274</v>
      </c>
      <c r="C17" s="1">
        <v>537</v>
      </c>
      <c r="D17" t="str">
        <f>IF(Excel_jumia_dataset3[[#This Row],[Current Price]]="","Missing",IF(Excel_jumia_dataset3[[#This Row],[Current Price]]&lt;Data_Analysis!$B$21,"Low Price",IF(Excel_jumia_dataset3[[#This Row],[Current Price]]&lt;Data_Analysis!$B$22,"Medium Price","High Price")))</f>
        <v>Low Price</v>
      </c>
      <c r="E17" s="1">
        <f>Excel_jumia_dataset3[[#This Row],[Old Price]]-Excel_jumia_dataset3[[#This Row],[Current Price]]</f>
        <v>263</v>
      </c>
      <c r="F17" s="2">
        <v>0.49</v>
      </c>
      <c r="G17" t="str">
        <f>IF(F17&lt;20%,"Low Discount",IF(F17&lt;=40%,"Medium Discount", "High Discount"))</f>
        <v>High Discount</v>
      </c>
      <c r="I17" s="44" t="s">
        <v>78</v>
      </c>
      <c r="J17" t="s">
        <v>428</v>
      </c>
    </row>
    <row r="18" spans="1:10" x14ac:dyDescent="0.45">
      <c r="A18" t="s">
        <v>93</v>
      </c>
      <c r="B18" s="1">
        <v>2880</v>
      </c>
      <c r="C18" s="1">
        <v>3520</v>
      </c>
      <c r="D18" t="str">
        <f>IF(Excel_jumia_dataset3[[#This Row],[Current Price]]="","Missing",IF(Excel_jumia_dataset3[[#This Row],[Current Price]]&lt;Data_Analysis!$B$21,"Low Price",IF(Excel_jumia_dataset3[[#This Row],[Current Price]]&lt;Data_Analysis!$B$22,"Medium Price","High Price")))</f>
        <v>High Price</v>
      </c>
      <c r="E18" s="1">
        <f>Excel_jumia_dataset3[[#This Row],[Old Price]]-Excel_jumia_dataset3[[#This Row],[Current Price]]</f>
        <v>640</v>
      </c>
      <c r="F18" s="2">
        <v>0.18</v>
      </c>
      <c r="G18" t="str">
        <f>IF(F18&lt;20%,"Low Discount",IF(F18&lt;=40%,"Medium Discount", "High Discount"))</f>
        <v>Low Discount</v>
      </c>
      <c r="H18" s="45">
        <v>12</v>
      </c>
      <c r="I18" s="44">
        <v>3.8</v>
      </c>
      <c r="J18" t="str">
        <f>IF(ISBLANK(I18),"",IF(I18&lt;3,"Poor",IF(I18&gt;=4.5,"Excellent","Average")))</f>
        <v>Average</v>
      </c>
    </row>
    <row r="19" spans="1:10" x14ac:dyDescent="0.45">
      <c r="A19" t="s">
        <v>66</v>
      </c>
      <c r="B19" s="1">
        <v>2999</v>
      </c>
      <c r="C19" s="1">
        <v>3699</v>
      </c>
      <c r="D19" t="str">
        <f>IF(Excel_jumia_dataset3[[#This Row],[Current Price]]="","Missing",IF(Excel_jumia_dataset3[[#This Row],[Current Price]]&lt;Data_Analysis!$B$21,"Low Price",IF(Excel_jumia_dataset3[[#This Row],[Current Price]]&lt;Data_Analysis!$B$22,"Medium Price","High Price")))</f>
        <v>High Price</v>
      </c>
      <c r="E19" s="1">
        <f>Excel_jumia_dataset3[[#This Row],[Old Price]]-Excel_jumia_dataset3[[#This Row],[Current Price]]</f>
        <v>700</v>
      </c>
      <c r="F19" s="2">
        <v>0.19</v>
      </c>
      <c r="G19" t="str">
        <f>IF(F19&lt;20%,"Low Discount",IF(F19&lt;=40%,"Medium Discount", "High Discount"))</f>
        <v>Low Discount</v>
      </c>
      <c r="H19" s="45">
        <v>5</v>
      </c>
      <c r="I19" s="44">
        <v>4.5999999999999996</v>
      </c>
      <c r="J19" t="str">
        <f>IF(ISBLANK(I19),"",IF(I19&lt;3,"Poor",IF(I19&gt;=4.5,"Excellent","Average")))</f>
        <v>Excellent</v>
      </c>
    </row>
    <row r="20" spans="1:10" x14ac:dyDescent="0.45">
      <c r="A20" t="s">
        <v>42</v>
      </c>
      <c r="B20" s="1">
        <v>799</v>
      </c>
      <c r="C20" s="1">
        <v>999</v>
      </c>
      <c r="D20" t="str">
        <f>IF(Excel_jumia_dataset3[[#This Row],[Current Price]]="","Missing",IF(Excel_jumia_dataset3[[#This Row],[Current Price]]&lt;Data_Analysis!$B$21,"Low Price",IF(Excel_jumia_dataset3[[#This Row],[Current Price]]&lt;Data_Analysis!$B$22,"Medium Price","High Price")))</f>
        <v>Medium Price</v>
      </c>
      <c r="E20" s="1">
        <f>Excel_jumia_dataset3[[#This Row],[Old Price]]-Excel_jumia_dataset3[[#This Row],[Current Price]]</f>
        <v>200</v>
      </c>
      <c r="F20" s="2">
        <v>0.2</v>
      </c>
      <c r="G20" t="str">
        <f>IF(F20&lt;20%,"Low Discount",IF(F20&lt;=40%,"Medium Discount", "High Discount"))</f>
        <v>Medium Discount</v>
      </c>
      <c r="H20" s="45">
        <v>12</v>
      </c>
      <c r="I20" s="44">
        <v>4.0999999999999996</v>
      </c>
      <c r="J20" t="str">
        <f>IF(ISBLANK(I20),"",IF(I20&lt;3,"Poor",IF(I20&gt;=4.5,"Excellent","Average")))</f>
        <v>Average</v>
      </c>
    </row>
    <row r="21" spans="1:10" x14ac:dyDescent="0.45">
      <c r="A21" t="s">
        <v>296</v>
      </c>
      <c r="B21" s="1">
        <v>3640</v>
      </c>
      <c r="C21" s="1">
        <v>4588</v>
      </c>
      <c r="D21" t="str">
        <f>IF(Excel_jumia_dataset3[[#This Row],[Current Price]]="","Missing",IF(Excel_jumia_dataset3[[#This Row],[Current Price]]&lt;Data_Analysis!$B$21,"Low Price",IF(Excel_jumia_dataset3[[#This Row],[Current Price]]&lt;Data_Analysis!$B$22,"Medium Price","High Price")))</f>
        <v>High Price</v>
      </c>
      <c r="E21" s="1">
        <f>Excel_jumia_dataset3[[#This Row],[Old Price]]-Excel_jumia_dataset3[[#This Row],[Current Price]]</f>
        <v>948</v>
      </c>
      <c r="F21" s="2">
        <v>0.21</v>
      </c>
      <c r="G21" t="str">
        <f>IF(F21&lt;20%,"Low Discount",IF(F21&lt;=40%,"Medium Discount", "High Discount"))</f>
        <v>Medium Discount</v>
      </c>
      <c r="H21" s="45">
        <v>1</v>
      </c>
      <c r="I21" s="44">
        <v>5</v>
      </c>
      <c r="J21" t="str">
        <f>IF(ISBLANK(I21),"",IF(I21&lt;3,"Poor",IF(I21&gt;=4.5,"Excellent","Average")))</f>
        <v>Excellent</v>
      </c>
    </row>
    <row r="22" spans="1:10" x14ac:dyDescent="0.45">
      <c r="A22" t="s">
        <v>203</v>
      </c>
      <c r="B22" s="1">
        <v>1220</v>
      </c>
      <c r="C22" s="1">
        <v>1555</v>
      </c>
      <c r="D22" t="str">
        <f>IF(Excel_jumia_dataset3[[#This Row],[Current Price]]="","Missing",IF(Excel_jumia_dataset3[[#This Row],[Current Price]]&lt;Data_Analysis!$B$21,"Low Price",IF(Excel_jumia_dataset3[[#This Row],[Current Price]]&lt;Data_Analysis!$B$22,"Medium Price","High Price")))</f>
        <v>Medium Price</v>
      </c>
      <c r="E22" s="1">
        <f>Excel_jumia_dataset3[[#This Row],[Old Price]]-Excel_jumia_dataset3[[#This Row],[Current Price]]</f>
        <v>335</v>
      </c>
      <c r="F22" s="2">
        <v>0.22</v>
      </c>
      <c r="G22" t="str">
        <f>IF(F22&lt;20%,"Low Discount",IF(F22&lt;=40%,"Medium Discount", "High Discount"))</f>
        <v>Medium Discount</v>
      </c>
      <c r="H22" s="45">
        <v>16</v>
      </c>
      <c r="I22" s="44">
        <v>2.9</v>
      </c>
      <c r="J22" t="str">
        <f>IF(ISBLANK(I22),"",IF(I22&lt;3,"Poor",IF(I22&gt;=4.5,"Excellent","Average")))</f>
        <v>Poor</v>
      </c>
    </row>
    <row r="23" spans="1:10" x14ac:dyDescent="0.45">
      <c r="A23" t="s">
        <v>285</v>
      </c>
      <c r="B23" s="1">
        <v>248</v>
      </c>
      <c r="C23" s="1">
        <v>486</v>
      </c>
      <c r="D23" t="str">
        <f>IF(Excel_jumia_dataset3[[#This Row],[Current Price]]="","Missing",IF(Excel_jumia_dataset3[[#This Row],[Current Price]]&lt;Data_Analysis!$B$21,"Low Price",IF(Excel_jumia_dataset3[[#This Row],[Current Price]]&lt;Data_Analysis!$B$22,"Medium Price","High Price")))</f>
        <v>Low Price</v>
      </c>
      <c r="E23" s="1">
        <f>Excel_jumia_dataset3[[#This Row],[Old Price]]-Excel_jumia_dataset3[[#This Row],[Current Price]]</f>
        <v>238</v>
      </c>
      <c r="F23" s="2">
        <v>0.49</v>
      </c>
      <c r="G23" t="str">
        <f>IF(F23&lt;20%,"Low Discount",IF(F23&lt;=40%,"Medium Discount", "High Discount"))</f>
        <v>High Discount</v>
      </c>
      <c r="I23" s="44" t="s">
        <v>78</v>
      </c>
      <c r="J23" t="s">
        <v>428</v>
      </c>
    </row>
    <row r="24" spans="1:10" x14ac:dyDescent="0.45">
      <c r="A24" t="s">
        <v>82</v>
      </c>
      <c r="B24" s="1">
        <v>1650</v>
      </c>
      <c r="C24" s="1">
        <v>2150</v>
      </c>
      <c r="D24" t="str">
        <f>IF(Excel_jumia_dataset3[[#This Row],[Current Price]]="","Missing",IF(Excel_jumia_dataset3[[#This Row],[Current Price]]&lt;Data_Analysis!$B$21,"Low Price",IF(Excel_jumia_dataset3[[#This Row],[Current Price]]&lt;Data_Analysis!$B$22,"Medium Price","High Price")))</f>
        <v>Medium Price</v>
      </c>
      <c r="E24" s="1">
        <f>Excel_jumia_dataset3[[#This Row],[Old Price]]-Excel_jumia_dataset3[[#This Row],[Current Price]]</f>
        <v>500</v>
      </c>
      <c r="F24" s="2">
        <v>0.23</v>
      </c>
      <c r="G24" t="str">
        <f>IF(F24&lt;20%,"Low Discount",IF(F24&lt;=40%,"Medium Discount", "High Discount"))</f>
        <v>Medium Discount</v>
      </c>
      <c r="H24" s="45">
        <v>14</v>
      </c>
      <c r="I24" s="44">
        <v>4.4000000000000004</v>
      </c>
      <c r="J24" t="str">
        <f>IF(ISBLANK(I24),"",IF(I24&lt;3,"Poor",IF(I24&gt;=4.5,"Excellent","Average")))</f>
        <v>Average</v>
      </c>
    </row>
    <row r="25" spans="1:10" x14ac:dyDescent="0.45">
      <c r="A25" t="s">
        <v>30</v>
      </c>
      <c r="B25" s="1">
        <v>2319</v>
      </c>
      <c r="C25" s="1">
        <v>3032</v>
      </c>
      <c r="D25" t="str">
        <f>IF(Excel_jumia_dataset3[[#This Row],[Current Price]]="","Missing",IF(Excel_jumia_dataset3[[#This Row],[Current Price]]&lt;Data_Analysis!$B$21,"Low Price",IF(Excel_jumia_dataset3[[#This Row],[Current Price]]&lt;Data_Analysis!$B$22,"Medium Price","High Price")))</f>
        <v>High Price</v>
      </c>
      <c r="E25" s="1">
        <f>Excel_jumia_dataset3[[#This Row],[Old Price]]-Excel_jumia_dataset3[[#This Row],[Current Price]]</f>
        <v>713</v>
      </c>
      <c r="F25" s="2">
        <v>0.24</v>
      </c>
      <c r="G25" t="str">
        <f>IF(F25&lt;20%,"Low Discount",IF(F25&lt;=40%,"Medium Discount", "High Discount"))</f>
        <v>Medium Discount</v>
      </c>
      <c r="H25" s="45">
        <v>55</v>
      </c>
      <c r="I25" s="44">
        <v>4.5999999999999996</v>
      </c>
      <c r="J25" t="str">
        <f>IF(ISBLANK(I25),"",IF(I25&lt;3,"Poor",IF(I25&gt;=4.5,"Excellent","Average")))</f>
        <v>Excellent</v>
      </c>
    </row>
    <row r="26" spans="1:10" x14ac:dyDescent="0.45">
      <c r="A26" t="s">
        <v>241</v>
      </c>
      <c r="B26" s="1">
        <v>230</v>
      </c>
      <c r="C26" s="1">
        <v>450</v>
      </c>
      <c r="D26" t="str">
        <f>IF(Excel_jumia_dataset3[[#This Row],[Current Price]]="","Missing",IF(Excel_jumia_dataset3[[#This Row],[Current Price]]&lt;Data_Analysis!$B$21,"Low Price",IF(Excel_jumia_dataset3[[#This Row],[Current Price]]&lt;Data_Analysis!$B$22,"Medium Price","High Price")))</f>
        <v>Low Price</v>
      </c>
      <c r="E26" s="1">
        <f>Excel_jumia_dataset3[[#This Row],[Old Price]]-Excel_jumia_dataset3[[#This Row],[Current Price]]</f>
        <v>220</v>
      </c>
      <c r="F26" s="2">
        <v>0.49</v>
      </c>
      <c r="G26" t="str">
        <f>IF(F26&lt;20%,"Low Discount",IF(F26&lt;=40%,"Medium Discount", "High Discount"))</f>
        <v>High Discount</v>
      </c>
      <c r="I26" s="44" t="s">
        <v>78</v>
      </c>
      <c r="J26" t="s">
        <v>428</v>
      </c>
    </row>
    <row r="27" spans="1:10" x14ac:dyDescent="0.45">
      <c r="A27" t="s">
        <v>14</v>
      </c>
      <c r="B27" s="1">
        <v>2199</v>
      </c>
      <c r="C27" s="1">
        <v>2923</v>
      </c>
      <c r="D27" t="str">
        <f>IF(Excel_jumia_dataset3[[#This Row],[Current Price]]="","Missing",IF(Excel_jumia_dataset3[[#This Row],[Current Price]]&lt;Data_Analysis!$B$21,"Low Price",IF(Excel_jumia_dataset3[[#This Row],[Current Price]]&lt;Data_Analysis!$B$22,"Medium Price","High Price")))</f>
        <v>High Price</v>
      </c>
      <c r="E27" s="1">
        <f>Excel_jumia_dataset3[[#This Row],[Old Price]]-Excel_jumia_dataset3[[#This Row],[Current Price]]</f>
        <v>724</v>
      </c>
      <c r="F27" s="2">
        <v>0.25</v>
      </c>
      <c r="G27" t="str">
        <f>IF(F27&lt;20%,"Low Discount",IF(F27&lt;=40%,"Medium Discount", "High Discount"))</f>
        <v>Medium Discount</v>
      </c>
      <c r="H27" s="45">
        <v>24</v>
      </c>
      <c r="I27" s="44">
        <v>4.5999999999999996</v>
      </c>
      <c r="J27" t="str">
        <f>IF(ISBLANK(I27),"",IF(I27&lt;3,"Poor",IF(I27&gt;=4.5,"Excellent","Average")))</f>
        <v>Excellent</v>
      </c>
    </row>
    <row r="28" spans="1:10" x14ac:dyDescent="0.45">
      <c r="A28" t="s">
        <v>22</v>
      </c>
      <c r="B28" s="1">
        <v>1740</v>
      </c>
      <c r="C28" s="1">
        <v>2356</v>
      </c>
      <c r="D28" t="str">
        <f>IF(Excel_jumia_dataset3[[#This Row],[Current Price]]="","Missing",IF(Excel_jumia_dataset3[[#This Row],[Current Price]]&lt;Data_Analysis!$B$21,"Low Price",IF(Excel_jumia_dataset3[[#This Row],[Current Price]]&lt;Data_Analysis!$B$22,"Medium Price","High Price")))</f>
        <v>High Price</v>
      </c>
      <c r="E28" s="1">
        <f>Excel_jumia_dataset3[[#This Row],[Old Price]]-Excel_jumia_dataset3[[#This Row],[Current Price]]</f>
        <v>616</v>
      </c>
      <c r="F28" s="2">
        <v>0.26</v>
      </c>
      <c r="G28" t="str">
        <f>IF(F28&lt;20%,"Low Discount",IF(F28&lt;=40%,"Medium Discount", "High Discount"))</f>
        <v>Medium Discount</v>
      </c>
      <c r="H28" s="45">
        <v>5</v>
      </c>
      <c r="I28" s="44">
        <v>4.8</v>
      </c>
      <c r="J28" t="str">
        <f>IF(ISBLANK(I28),"",IF(I28&lt;3,"Poor",IF(I28&gt;=4.5,"Excellent","Average")))</f>
        <v>Excellent</v>
      </c>
    </row>
    <row r="29" spans="1:10" x14ac:dyDescent="0.45">
      <c r="A29" t="s">
        <v>155</v>
      </c>
      <c r="B29" s="1">
        <v>176</v>
      </c>
      <c r="C29" s="1">
        <v>345</v>
      </c>
      <c r="D29" t="str">
        <f>IF(Excel_jumia_dataset3[[#This Row],[Current Price]]="","Missing",IF(Excel_jumia_dataset3[[#This Row],[Current Price]]&lt;Data_Analysis!$B$21,"Low Price",IF(Excel_jumia_dataset3[[#This Row],[Current Price]]&lt;Data_Analysis!$B$22,"Medium Price","High Price")))</f>
        <v>Low Price</v>
      </c>
      <c r="E29" s="1">
        <f>Excel_jumia_dataset3[[#This Row],[Old Price]]-Excel_jumia_dataset3[[#This Row],[Current Price]]</f>
        <v>169</v>
      </c>
      <c r="F29" s="2">
        <v>0.49</v>
      </c>
      <c r="G29" t="str">
        <f>IF(F29&lt;20%,"Low Discount",IF(F29&lt;=40%,"Medium Discount", "High Discount"))</f>
        <v>High Discount</v>
      </c>
      <c r="I29" s="44" t="s">
        <v>78</v>
      </c>
      <c r="J29" t="s">
        <v>428</v>
      </c>
    </row>
    <row r="30" spans="1:10" x14ac:dyDescent="0.45">
      <c r="A30" t="s">
        <v>115</v>
      </c>
      <c r="B30" s="1">
        <v>1980</v>
      </c>
      <c r="C30" s="1">
        <v>2699</v>
      </c>
      <c r="D30" t="str">
        <f>IF(Excel_jumia_dataset3[[#This Row],[Current Price]]="","Missing",IF(Excel_jumia_dataset3[[#This Row],[Current Price]]&lt;Data_Analysis!$B$21,"Low Price",IF(Excel_jumia_dataset3[[#This Row],[Current Price]]&lt;Data_Analysis!$B$22,"Medium Price","High Price")))</f>
        <v>High Price</v>
      </c>
      <c r="E30" s="1">
        <f>Excel_jumia_dataset3[[#This Row],[Old Price]]-Excel_jumia_dataset3[[#This Row],[Current Price]]</f>
        <v>719</v>
      </c>
      <c r="F30" s="2">
        <v>0.27</v>
      </c>
      <c r="G30" t="str">
        <f>IF(F30&lt;20%,"Low Discount",IF(F30&lt;=40%,"Medium Discount", "High Discount"))</f>
        <v>Medium Discount</v>
      </c>
      <c r="H30" s="45">
        <v>32</v>
      </c>
      <c r="I30" s="44">
        <v>4.5</v>
      </c>
      <c r="J30" t="str">
        <f>IF(ISBLANK(I30),"",IF(I30&lt;3,"Poor",IF(I30&gt;=4.5,"Excellent","Average")))</f>
        <v>Excellent</v>
      </c>
    </row>
    <row r="31" spans="1:10" x14ac:dyDescent="0.45">
      <c r="A31" t="s">
        <v>112</v>
      </c>
      <c r="B31" s="1">
        <v>1940</v>
      </c>
      <c r="C31" s="1">
        <v>2650</v>
      </c>
      <c r="D31" t="str">
        <f>IF(Excel_jumia_dataset3[[#This Row],[Current Price]]="","Missing",IF(Excel_jumia_dataset3[[#This Row],[Current Price]]&lt;Data_Analysis!$B$21,"Low Price",IF(Excel_jumia_dataset3[[#This Row],[Current Price]]&lt;Data_Analysis!$B$22,"Medium Price","High Price")))</f>
        <v>High Price</v>
      </c>
      <c r="E31" s="1">
        <f>Excel_jumia_dataset3[[#This Row],[Old Price]]-Excel_jumia_dataset3[[#This Row],[Current Price]]</f>
        <v>710</v>
      </c>
      <c r="F31" s="2">
        <v>0.27</v>
      </c>
      <c r="G31" t="str">
        <f>IF(F31&lt;20%,"Low Discount",IF(F31&lt;=40%,"Medium Discount", "High Discount"))</f>
        <v>Medium Discount</v>
      </c>
      <c r="H31" s="45">
        <v>20</v>
      </c>
      <c r="I31" s="44">
        <v>4.7</v>
      </c>
      <c r="J31" t="str">
        <f>IF(ISBLANK(I31),"",IF(I31&lt;3,"Poor",IF(I31&gt;=4.5,"Excellent","Average")))</f>
        <v>Excellent</v>
      </c>
    </row>
    <row r="32" spans="1:10" x14ac:dyDescent="0.45">
      <c r="A32" t="s">
        <v>219</v>
      </c>
      <c r="B32" s="1">
        <v>2300</v>
      </c>
      <c r="C32" s="1">
        <v>3240</v>
      </c>
      <c r="D32" t="str">
        <f>IF(Excel_jumia_dataset3[[#This Row],[Current Price]]="","Missing",IF(Excel_jumia_dataset3[[#This Row],[Current Price]]&lt;Data_Analysis!$B$21,"Low Price",IF(Excel_jumia_dataset3[[#This Row],[Current Price]]&lt;Data_Analysis!$B$22,"Medium Price","High Price")))</f>
        <v>High Price</v>
      </c>
      <c r="E32" s="1">
        <f>Excel_jumia_dataset3[[#This Row],[Old Price]]-Excel_jumia_dataset3[[#This Row],[Current Price]]</f>
        <v>940</v>
      </c>
      <c r="F32" s="2">
        <v>0.28999999999999998</v>
      </c>
      <c r="G32" t="str">
        <f>IF(F32&lt;20%,"Low Discount",IF(F32&lt;=40%,"Medium Discount", "High Discount"))</f>
        <v>Medium Discount</v>
      </c>
      <c r="H32" s="45">
        <v>5</v>
      </c>
      <c r="I32" s="44">
        <v>3</v>
      </c>
      <c r="J32" t="str">
        <f>IF(ISBLANK(I32),"",IF(I32&lt;3,"Poor",IF(I32&gt;=4.5,"Excellent","Average")))</f>
        <v>Average</v>
      </c>
    </row>
    <row r="33" spans="1:10" x14ac:dyDescent="0.45">
      <c r="A33" t="s">
        <v>98</v>
      </c>
      <c r="B33" s="1">
        <v>1758</v>
      </c>
      <c r="C33" s="1">
        <v>2499</v>
      </c>
      <c r="D33" t="str">
        <f>IF(Excel_jumia_dataset3[[#This Row],[Current Price]]="","Missing",IF(Excel_jumia_dataset3[[#This Row],[Current Price]]&lt;Data_Analysis!$B$21,"Low Price",IF(Excel_jumia_dataset3[[#This Row],[Current Price]]&lt;Data_Analysis!$B$22,"Medium Price","High Price")))</f>
        <v>High Price</v>
      </c>
      <c r="E33" s="1">
        <f>Excel_jumia_dataset3[[#This Row],[Old Price]]-Excel_jumia_dataset3[[#This Row],[Current Price]]</f>
        <v>741</v>
      </c>
      <c r="F33" s="2">
        <v>0.3</v>
      </c>
      <c r="G33" t="str">
        <f>IF(F33&lt;20%,"Low Discount",IF(F33&lt;=40%,"Medium Discount", "High Discount"))</f>
        <v>Medium Discount</v>
      </c>
      <c r="H33" s="45">
        <v>20</v>
      </c>
      <c r="I33" s="44">
        <v>4.0999999999999996</v>
      </c>
      <c r="J33" t="str">
        <f>IF(ISBLANK(I33),"",IF(I33&lt;3,"Poor",IF(I33&gt;=4.5,"Excellent","Average")))</f>
        <v>Average</v>
      </c>
    </row>
    <row r="34" spans="1:10" x14ac:dyDescent="0.45">
      <c r="A34" t="s">
        <v>96</v>
      </c>
      <c r="B34" s="1">
        <v>1350</v>
      </c>
      <c r="C34" s="1">
        <v>1990</v>
      </c>
      <c r="D34" t="str">
        <f>IF(Excel_jumia_dataset3[[#This Row],[Current Price]]="","Missing",IF(Excel_jumia_dataset3[[#This Row],[Current Price]]&lt;Data_Analysis!$B$21,"Low Price",IF(Excel_jumia_dataset3[[#This Row],[Current Price]]&lt;Data_Analysis!$B$22,"Medium Price","High Price")))</f>
        <v>Medium Price</v>
      </c>
      <c r="E34" s="1">
        <f>Excel_jumia_dataset3[[#This Row],[Old Price]]-Excel_jumia_dataset3[[#This Row],[Current Price]]</f>
        <v>640</v>
      </c>
      <c r="F34" s="2">
        <v>0.32</v>
      </c>
      <c r="G34" t="str">
        <f>IF(F34&lt;20%,"Low Discount",IF(F34&lt;=40%,"Medium Discount", "High Discount"))</f>
        <v>Medium Discount</v>
      </c>
      <c r="H34" s="45">
        <v>13</v>
      </c>
      <c r="I34" s="44">
        <v>3.8</v>
      </c>
      <c r="J34" t="str">
        <f>IF(ISBLANK(I34),"",IF(I34&lt;3,"Poor",IF(I34&gt;=4.5,"Excellent","Average")))</f>
        <v>Average</v>
      </c>
    </row>
    <row r="35" spans="1:10" x14ac:dyDescent="0.45">
      <c r="A35" t="s">
        <v>53</v>
      </c>
      <c r="B35" s="1">
        <v>1680</v>
      </c>
      <c r="C35" s="1">
        <v>2499</v>
      </c>
      <c r="D35" t="str">
        <f>IF(Excel_jumia_dataset3[[#This Row],[Current Price]]="","Missing",IF(Excel_jumia_dataset3[[#This Row],[Current Price]]&lt;Data_Analysis!$B$21,"Low Price",IF(Excel_jumia_dataset3[[#This Row],[Current Price]]&lt;Data_Analysis!$B$22,"Medium Price","High Price")))</f>
        <v>High Price</v>
      </c>
      <c r="E35" s="1">
        <f>Excel_jumia_dataset3[[#This Row],[Old Price]]-Excel_jumia_dataset3[[#This Row],[Current Price]]</f>
        <v>819</v>
      </c>
      <c r="F35" s="2">
        <v>0.33</v>
      </c>
      <c r="G35" t="str">
        <f>IF(F35&lt;20%,"Low Discount",IF(F35&lt;=40%,"Medium Discount", "High Discount"))</f>
        <v>Medium Discount</v>
      </c>
      <c r="H35" s="45">
        <v>9</v>
      </c>
      <c r="I35" s="44">
        <v>4.2</v>
      </c>
      <c r="J35" t="str">
        <f>IF(ISBLANK(I35),"",IF(I35&lt;3,"Poor",IF(I35&gt;=4.5,"Excellent","Average")))</f>
        <v>Average</v>
      </c>
    </row>
    <row r="36" spans="1:10" x14ac:dyDescent="0.45">
      <c r="A36" t="s">
        <v>273</v>
      </c>
      <c r="B36" s="1">
        <v>1300</v>
      </c>
      <c r="C36" s="1">
        <v>2500</v>
      </c>
      <c r="D36" t="str">
        <f>IF(Excel_jumia_dataset3[[#This Row],[Current Price]]="","Missing",IF(Excel_jumia_dataset3[[#This Row],[Current Price]]&lt;Data_Analysis!$B$21,"Low Price",IF(Excel_jumia_dataset3[[#This Row],[Current Price]]&lt;Data_Analysis!$B$22,"Medium Price","High Price")))</f>
        <v>Medium Price</v>
      </c>
      <c r="E36" s="1">
        <f>Excel_jumia_dataset3[[#This Row],[Old Price]]-Excel_jumia_dataset3[[#This Row],[Current Price]]</f>
        <v>1200</v>
      </c>
      <c r="F36" s="2">
        <v>0.48</v>
      </c>
      <c r="G36" t="str">
        <f>IF(F36&lt;20%,"Low Discount",IF(F36&lt;=40%,"Medium Discount", "High Discount"))</f>
        <v>High Discount</v>
      </c>
      <c r="I36" s="44" t="s">
        <v>78</v>
      </c>
      <c r="J36" t="s">
        <v>428</v>
      </c>
    </row>
    <row r="37" spans="1:10" x14ac:dyDescent="0.45">
      <c r="A37" t="s">
        <v>174</v>
      </c>
      <c r="B37" s="1">
        <v>699</v>
      </c>
      <c r="C37" s="1">
        <v>1343</v>
      </c>
      <c r="D37" t="str">
        <f>IF(Excel_jumia_dataset3[[#This Row],[Current Price]]="","Missing",IF(Excel_jumia_dataset3[[#This Row],[Current Price]]&lt;Data_Analysis!$B$21,"Low Price",IF(Excel_jumia_dataset3[[#This Row],[Current Price]]&lt;Data_Analysis!$B$22,"Medium Price","High Price")))</f>
        <v>Medium Price</v>
      </c>
      <c r="E37" s="1">
        <f>Excel_jumia_dataset3[[#This Row],[Old Price]]-Excel_jumia_dataset3[[#This Row],[Current Price]]</f>
        <v>644</v>
      </c>
      <c r="F37" s="2">
        <v>0.48</v>
      </c>
      <c r="G37" t="str">
        <f>IF(F37&lt;20%,"Low Discount",IF(F37&lt;=40%,"Medium Discount", "High Discount"))</f>
        <v>High Discount</v>
      </c>
      <c r="I37" s="44" t="s">
        <v>78</v>
      </c>
      <c r="J37" t="s">
        <v>428</v>
      </c>
    </row>
    <row r="38" spans="1:10" x14ac:dyDescent="0.45">
      <c r="A38" t="s">
        <v>275</v>
      </c>
      <c r="B38" s="1">
        <v>105</v>
      </c>
      <c r="C38" s="1">
        <v>200</v>
      </c>
      <c r="D38" t="str">
        <f>IF(Excel_jumia_dataset3[[#This Row],[Current Price]]="","Missing",IF(Excel_jumia_dataset3[[#This Row],[Current Price]]&lt;Data_Analysis!$B$21,"Low Price",IF(Excel_jumia_dataset3[[#This Row],[Current Price]]&lt;Data_Analysis!$B$22,"Medium Price","High Price")))</f>
        <v>Low Price</v>
      </c>
      <c r="E38" s="1">
        <f>Excel_jumia_dataset3[[#This Row],[Old Price]]-Excel_jumia_dataset3[[#This Row],[Current Price]]</f>
        <v>95</v>
      </c>
      <c r="F38" s="2">
        <v>0.48</v>
      </c>
      <c r="G38" t="str">
        <f>IF(F38&lt;20%,"Low Discount",IF(F38&lt;=40%,"Medium Discount", "High Discount"))</f>
        <v>High Discount</v>
      </c>
      <c r="I38" s="44" t="s">
        <v>78</v>
      </c>
      <c r="J38" t="s">
        <v>428</v>
      </c>
    </row>
    <row r="39" spans="1:10" x14ac:dyDescent="0.45">
      <c r="A39" t="s">
        <v>44</v>
      </c>
      <c r="B39" s="1">
        <v>990</v>
      </c>
      <c r="C39" s="1">
        <v>1500</v>
      </c>
      <c r="D39" t="str">
        <f>IF(Excel_jumia_dataset3[[#This Row],[Current Price]]="","Missing",IF(Excel_jumia_dataset3[[#This Row],[Current Price]]&lt;Data_Analysis!$B$21,"Low Price",IF(Excel_jumia_dataset3[[#This Row],[Current Price]]&lt;Data_Analysis!$B$22,"Medium Price","High Price")))</f>
        <v>Medium Price</v>
      </c>
      <c r="E39" s="1">
        <f>Excel_jumia_dataset3[[#This Row],[Old Price]]-Excel_jumia_dataset3[[#This Row],[Current Price]]</f>
        <v>510</v>
      </c>
      <c r="F39" s="2">
        <v>0.34</v>
      </c>
      <c r="G39" t="str">
        <f>IF(F39&lt;20%,"Low Discount",IF(F39&lt;=40%,"Medium Discount", "High Discount"))</f>
        <v>Medium Discount</v>
      </c>
      <c r="H39" s="45">
        <v>39</v>
      </c>
      <c r="I39" s="44">
        <v>4.7</v>
      </c>
      <c r="J39" t="str">
        <f>IF(ISBLANK(I39),"",IF(I39&lt;3,"Poor",IF(I39&gt;=4.5,"Excellent","Average")))</f>
        <v>Excellent</v>
      </c>
    </row>
    <row r="40" spans="1:10" x14ac:dyDescent="0.45">
      <c r="A40" t="s">
        <v>106</v>
      </c>
      <c r="B40" s="1">
        <v>980</v>
      </c>
      <c r="C40" s="1">
        <v>1490</v>
      </c>
      <c r="D40" t="str">
        <f>IF(Excel_jumia_dataset3[[#This Row],[Current Price]]="","Missing",IF(Excel_jumia_dataset3[[#This Row],[Current Price]]&lt;Data_Analysis!$B$21,"Low Price",IF(Excel_jumia_dataset3[[#This Row],[Current Price]]&lt;Data_Analysis!$B$22,"Medium Price","High Price")))</f>
        <v>Medium Price</v>
      </c>
      <c r="E40" s="1">
        <f>Excel_jumia_dataset3[[#This Row],[Old Price]]-Excel_jumia_dataset3[[#This Row],[Current Price]]</f>
        <v>510</v>
      </c>
      <c r="F40" s="2">
        <v>0.34</v>
      </c>
      <c r="G40" t="str">
        <f>IF(F40&lt;20%,"Low Discount",IF(F40&lt;=40%,"Medium Discount", "High Discount"))</f>
        <v>Medium Discount</v>
      </c>
      <c r="H40" s="45">
        <v>12</v>
      </c>
      <c r="I40" s="44">
        <v>4.7</v>
      </c>
      <c r="J40" t="str">
        <f>IF(ISBLANK(I40),"",IF(I40&lt;3,"Poor",IF(I40&gt;=4.5,"Excellent","Average")))</f>
        <v>Excellent</v>
      </c>
    </row>
    <row r="41" spans="1:10" x14ac:dyDescent="0.45">
      <c r="A41" t="s">
        <v>79</v>
      </c>
      <c r="B41" s="1">
        <v>880</v>
      </c>
      <c r="C41" s="1">
        <v>1350</v>
      </c>
      <c r="D41" t="str">
        <f>IF(Excel_jumia_dataset3[[#This Row],[Current Price]]="","Missing",IF(Excel_jumia_dataset3[[#This Row],[Current Price]]&lt;Data_Analysis!$B$21,"Low Price",IF(Excel_jumia_dataset3[[#This Row],[Current Price]]&lt;Data_Analysis!$B$22,"Medium Price","High Price")))</f>
        <v>Medium Price</v>
      </c>
      <c r="E41" s="1">
        <f>Excel_jumia_dataset3[[#This Row],[Old Price]]-Excel_jumia_dataset3[[#This Row],[Current Price]]</f>
        <v>470</v>
      </c>
      <c r="F41" s="2">
        <v>0.35</v>
      </c>
      <c r="G41" t="str">
        <f>IF(F41&lt;20%,"Low Discount",IF(F41&lt;=40%,"Medium Discount", "High Discount"))</f>
        <v>Medium Discount</v>
      </c>
      <c r="H41" s="45">
        <v>6</v>
      </c>
      <c r="I41" s="44">
        <v>4</v>
      </c>
      <c r="J41" t="str">
        <f>IF(ISBLANK(I41),"",IF(I41&lt;3,"Poor",IF(I41&gt;=4.5,"Excellent","Average")))</f>
        <v>Average</v>
      </c>
    </row>
    <row r="42" spans="1:10" x14ac:dyDescent="0.45">
      <c r="A42" t="s">
        <v>90</v>
      </c>
      <c r="B42" s="1">
        <v>420</v>
      </c>
      <c r="C42" s="1">
        <v>647</v>
      </c>
      <c r="D42" t="str">
        <f>IF(Excel_jumia_dataset3[[#This Row],[Current Price]]="","Missing",IF(Excel_jumia_dataset3[[#This Row],[Current Price]]&lt;Data_Analysis!$B$21,"Low Price",IF(Excel_jumia_dataset3[[#This Row],[Current Price]]&lt;Data_Analysis!$B$22,"Medium Price","High Price")))</f>
        <v>Low Price</v>
      </c>
      <c r="E42" s="1">
        <f>Excel_jumia_dataset3[[#This Row],[Old Price]]-Excel_jumia_dataset3[[#This Row],[Current Price]]</f>
        <v>227</v>
      </c>
      <c r="F42" s="2">
        <v>0.35</v>
      </c>
      <c r="G42" t="str">
        <f>IF(F42&lt;20%,"Low Discount",IF(F42&lt;=40%,"Medium Discount", "High Discount"))</f>
        <v>Medium Discount</v>
      </c>
      <c r="H42" s="45">
        <v>49</v>
      </c>
      <c r="I42" s="44">
        <v>4.5999999999999996</v>
      </c>
      <c r="J42" t="str">
        <f>IF(ISBLANK(I42),"",IF(I42&lt;3,"Poor",IF(I42&gt;=4.5,"Excellent","Average")))</f>
        <v>Excellent</v>
      </c>
    </row>
    <row r="43" spans="1:10" x14ac:dyDescent="0.45">
      <c r="A43" t="s">
        <v>278</v>
      </c>
      <c r="B43" s="1">
        <v>899</v>
      </c>
      <c r="C43" s="1">
        <v>1699</v>
      </c>
      <c r="D43" t="str">
        <f>IF(Excel_jumia_dataset3[[#This Row],[Current Price]]="","Missing",IF(Excel_jumia_dataset3[[#This Row],[Current Price]]&lt;Data_Analysis!$B$21,"Low Price",IF(Excel_jumia_dataset3[[#This Row],[Current Price]]&lt;Data_Analysis!$B$22,"Medium Price","High Price")))</f>
        <v>Medium Price</v>
      </c>
      <c r="E43" s="1">
        <f>Excel_jumia_dataset3[[#This Row],[Old Price]]-Excel_jumia_dataset3[[#This Row],[Current Price]]</f>
        <v>800</v>
      </c>
      <c r="F43" s="2">
        <v>0.47</v>
      </c>
      <c r="G43" t="str">
        <f>IF(F43&lt;20%,"Low Discount",IF(F43&lt;=40%,"Medium Discount", "High Discount"))</f>
        <v>High Discount</v>
      </c>
      <c r="I43" s="44" t="s">
        <v>78</v>
      </c>
      <c r="J43" t="s">
        <v>428</v>
      </c>
    </row>
    <row r="44" spans="1:10" x14ac:dyDescent="0.45">
      <c r="A44" t="s">
        <v>18</v>
      </c>
      <c r="B44" s="1">
        <v>1580</v>
      </c>
      <c r="C44" s="1">
        <v>2499</v>
      </c>
      <c r="D44" t="str">
        <f>IF(Excel_jumia_dataset3[[#This Row],[Current Price]]="","Missing",IF(Excel_jumia_dataset3[[#This Row],[Current Price]]&lt;Data_Analysis!$B$21,"Low Price",IF(Excel_jumia_dataset3[[#This Row],[Current Price]]&lt;Data_Analysis!$B$22,"Medium Price","High Price")))</f>
        <v>Medium Price</v>
      </c>
      <c r="E44" s="1">
        <f>Excel_jumia_dataset3[[#This Row],[Old Price]]-Excel_jumia_dataset3[[#This Row],[Current Price]]</f>
        <v>919</v>
      </c>
      <c r="F44" s="2">
        <v>0.37</v>
      </c>
      <c r="G44" t="str">
        <f>IF(F44&lt;20%,"Low Discount",IF(F44&lt;=40%,"Medium Discount", "High Discount"))</f>
        <v>Medium Discount</v>
      </c>
      <c r="H44" s="45">
        <v>7</v>
      </c>
      <c r="I44" s="44">
        <v>4.7</v>
      </c>
      <c r="J44" t="str">
        <f>IF(ISBLANK(I44),"",IF(I44&lt;3,"Poor",IF(I44&gt;=4.5,"Excellent","Average")))</f>
        <v>Excellent</v>
      </c>
    </row>
    <row r="45" spans="1:10" ht="14.65" customHeight="1" x14ac:dyDescent="0.45">
      <c r="A45" t="s">
        <v>33</v>
      </c>
      <c r="B45" s="1">
        <v>988</v>
      </c>
      <c r="C45" s="1">
        <v>1580</v>
      </c>
      <c r="D45" t="str">
        <f>IF(Excel_jumia_dataset3[[#This Row],[Current Price]]="","Missing",IF(Excel_jumia_dataset3[[#This Row],[Current Price]]&lt;Data_Analysis!$B$21,"Low Price",IF(Excel_jumia_dataset3[[#This Row],[Current Price]]&lt;Data_Analysis!$B$22,"Medium Price","High Price")))</f>
        <v>Medium Price</v>
      </c>
      <c r="E45" s="1">
        <f>Excel_jumia_dataset3[[#This Row],[Old Price]]-Excel_jumia_dataset3[[#This Row],[Current Price]]</f>
        <v>592</v>
      </c>
      <c r="F45" s="2">
        <v>0.37</v>
      </c>
      <c r="G45" t="str">
        <f>IF(F45&lt;20%,"Low Discount",IF(F45&lt;=40%,"Medium Discount", "High Discount"))</f>
        <v>Medium Discount</v>
      </c>
      <c r="H45" s="45">
        <v>2</v>
      </c>
      <c r="I45" s="44">
        <v>4</v>
      </c>
      <c r="J45" t="str">
        <f>IF(ISBLANK(I45),"",IF(I45&lt;3,"Poor",IF(I45&gt;=4.5,"Excellent","Average")))</f>
        <v>Average</v>
      </c>
    </row>
    <row r="46" spans="1:10" ht="14.65" customHeight="1" x14ac:dyDescent="0.45">
      <c r="A46" t="s">
        <v>126</v>
      </c>
      <c r="B46" s="1">
        <v>1800</v>
      </c>
      <c r="C46" s="1">
        <v>2700</v>
      </c>
      <c r="D46" t="str">
        <f>IF(Excel_jumia_dataset3[[#This Row],[Current Price]]="","Missing",IF(Excel_jumia_dataset3[[#This Row],[Current Price]]&lt;Data_Analysis!$B$21,"Low Price",IF(Excel_jumia_dataset3[[#This Row],[Current Price]]&lt;Data_Analysis!$B$22,"Medium Price","High Price")))</f>
        <v>High Price</v>
      </c>
      <c r="E46" s="1">
        <f>Excel_jumia_dataset3[[#This Row],[Old Price]]-Excel_jumia_dataset3[[#This Row],[Current Price]]</f>
        <v>900</v>
      </c>
      <c r="F46" s="2">
        <v>0.38</v>
      </c>
      <c r="G46" s="8" t="str">
        <f>IF(F46&lt;20%,"Low Discount",IF(F46&lt;=40%,"Medium Discount", "High Discount"))</f>
        <v>Medium Discount</v>
      </c>
      <c r="H46" s="45">
        <v>2</v>
      </c>
      <c r="I46" s="44">
        <v>4.5</v>
      </c>
      <c r="J46" t="str">
        <f>IF(ISBLANK(I46),"",IF(I46&lt;3,"Poor",IF(I46&gt;=4.5,"Excellent","Average")))</f>
        <v>Excellent</v>
      </c>
    </row>
    <row r="47" spans="1:10" x14ac:dyDescent="0.45">
      <c r="A47" t="s">
        <v>233</v>
      </c>
      <c r="B47" s="1">
        <v>790</v>
      </c>
      <c r="C47" s="1">
        <v>1485</v>
      </c>
      <c r="D47" t="str">
        <f>IF(Excel_jumia_dataset3[[#This Row],[Current Price]]="","Missing",IF(Excel_jumia_dataset3[[#This Row],[Current Price]]&lt;Data_Analysis!$B$21,"Low Price",IF(Excel_jumia_dataset3[[#This Row],[Current Price]]&lt;Data_Analysis!$B$22,"Medium Price","High Price")))</f>
        <v>Medium Price</v>
      </c>
      <c r="E47" s="1">
        <f>Excel_jumia_dataset3[[#This Row],[Old Price]]-Excel_jumia_dataset3[[#This Row],[Current Price]]</f>
        <v>695</v>
      </c>
      <c r="F47" s="2">
        <v>0.47</v>
      </c>
      <c r="G47" t="str">
        <f>IF(F47&lt;20%,"Low Discount",IF(F47&lt;=40%,"Medium Discount", "High Discount"))</f>
        <v>High Discount</v>
      </c>
      <c r="I47" s="44" t="s">
        <v>78</v>
      </c>
      <c r="J47" t="s">
        <v>428</v>
      </c>
    </row>
    <row r="48" spans="1:10" x14ac:dyDescent="0.45">
      <c r="A48" t="s">
        <v>321</v>
      </c>
      <c r="B48" s="1">
        <v>169</v>
      </c>
      <c r="C48" s="1">
        <v>320</v>
      </c>
      <c r="D48" t="str">
        <f>IF(Excel_jumia_dataset3[[#This Row],[Current Price]]="","Missing",IF(Excel_jumia_dataset3[[#This Row],[Current Price]]&lt;Data_Analysis!$B$21,"Low Price",IF(Excel_jumia_dataset3[[#This Row],[Current Price]]&lt;Data_Analysis!$B$22,"Medium Price","High Price")))</f>
        <v>Low Price</v>
      </c>
      <c r="E48" s="1">
        <f>Excel_jumia_dataset3[[#This Row],[Old Price]]-Excel_jumia_dataset3[[#This Row],[Current Price]]</f>
        <v>151</v>
      </c>
      <c r="F48" s="2">
        <v>0.47</v>
      </c>
      <c r="G48" t="str">
        <f>IF(F48&lt;20%,"Low Discount",IF(F48&lt;=40%,"Medium Discount", "High Discount"))</f>
        <v>High Discount</v>
      </c>
      <c r="I48" s="44" t="s">
        <v>78</v>
      </c>
      <c r="J48" t="s">
        <v>428</v>
      </c>
    </row>
    <row r="49" spans="1:10" x14ac:dyDescent="0.45">
      <c r="A49" t="s">
        <v>6</v>
      </c>
      <c r="B49" s="1">
        <v>950</v>
      </c>
      <c r="C49" s="1">
        <v>1525</v>
      </c>
      <c r="D49" t="str">
        <f>IF(Excel_jumia_dataset3[[#This Row],[Current Price]]="","Missing",IF(Excel_jumia_dataset3[[#This Row],[Current Price]]&lt;Data_Analysis!$B$21,"Low Price",IF(Excel_jumia_dataset3[[#This Row],[Current Price]]&lt;Data_Analysis!$B$22,"Medium Price","High Price")))</f>
        <v>Medium Price</v>
      </c>
      <c r="E49" s="1">
        <f>Excel_jumia_dataset3[[#This Row],[Old Price]]-Excel_jumia_dataset3[[#This Row],[Current Price]]</f>
        <v>575</v>
      </c>
      <c r="F49" s="2">
        <v>0.38</v>
      </c>
      <c r="G49" t="str">
        <f>IF(F49&lt;20%,"Low Discount",IF(F49&lt;=40%,"Medium Discount", "High Discount"))</f>
        <v>Medium Discount</v>
      </c>
      <c r="H49" s="45">
        <v>2</v>
      </c>
      <c r="I49" s="44">
        <v>4.5</v>
      </c>
      <c r="J49" t="str">
        <f>IF(ISBLANK(I49),"",IF(I49&lt;3,"Poor",IF(I49&gt;=4.5,"Excellent","Average")))</f>
        <v>Excellent</v>
      </c>
    </row>
    <row r="50" spans="1:10" x14ac:dyDescent="0.45">
      <c r="A50" t="s">
        <v>213</v>
      </c>
      <c r="B50" s="1">
        <v>3750</v>
      </c>
      <c r="C50" s="1">
        <v>6143</v>
      </c>
      <c r="D50" t="str">
        <f>IF(Excel_jumia_dataset3[[#This Row],[Current Price]]="","Missing",IF(Excel_jumia_dataset3[[#This Row],[Current Price]]&lt;Data_Analysis!$B$21,"Low Price",IF(Excel_jumia_dataset3[[#This Row],[Current Price]]&lt;Data_Analysis!$B$22,"Medium Price","High Price")))</f>
        <v>High Price</v>
      </c>
      <c r="E50" s="1">
        <f>Excel_jumia_dataset3[[#This Row],[Old Price]]-Excel_jumia_dataset3[[#This Row],[Current Price]]</f>
        <v>2393</v>
      </c>
      <c r="F50" s="2">
        <v>0.39</v>
      </c>
      <c r="G50" t="str">
        <f>IF(F50&lt;20%,"Low Discount",IF(F50&lt;=40%,"Medium Discount", "High Discount"))</f>
        <v>Medium Discount</v>
      </c>
      <c r="H50" s="45">
        <v>5</v>
      </c>
      <c r="I50" s="44">
        <v>3</v>
      </c>
      <c r="J50" t="str">
        <f>IF(ISBLANK(I50),"",IF(I50&lt;3,"Poor",IF(I50&gt;=4.5,"Excellent","Average")))</f>
        <v>Average</v>
      </c>
    </row>
    <row r="51" spans="1:10" x14ac:dyDescent="0.45">
      <c r="A51" t="s">
        <v>118</v>
      </c>
      <c r="B51" s="1">
        <v>1620</v>
      </c>
      <c r="C51" s="1">
        <v>2690</v>
      </c>
      <c r="D51" t="str">
        <f>IF(Excel_jumia_dataset3[[#This Row],[Current Price]]="","Missing",IF(Excel_jumia_dataset3[[#This Row],[Current Price]]&lt;Data_Analysis!$B$21,"Low Price",IF(Excel_jumia_dataset3[[#This Row],[Current Price]]&lt;Data_Analysis!$B$22,"Medium Price","High Price")))</f>
        <v>Medium Price</v>
      </c>
      <c r="E51" s="1">
        <f>Excel_jumia_dataset3[[#This Row],[Old Price]]-Excel_jumia_dataset3[[#This Row],[Current Price]]</f>
        <v>1070</v>
      </c>
      <c r="F51" s="2">
        <v>0.4</v>
      </c>
      <c r="G51" t="str">
        <f>IF(F51&lt;20%,"Low Discount",IF(F51&lt;=40%,"Medium Discount", "High Discount"))</f>
        <v>Medium Discount</v>
      </c>
      <c r="H51" s="45">
        <v>1</v>
      </c>
      <c r="I51" s="44">
        <v>5</v>
      </c>
      <c r="J51" t="str">
        <f>IF(ISBLANK(I51),"",IF(I51&lt;3,"Poor",IF(I51&gt;=4.5,"Excellent","Average")))</f>
        <v>Excellent</v>
      </c>
    </row>
    <row r="52" spans="1:10" x14ac:dyDescent="0.45">
      <c r="A52" t="s">
        <v>100</v>
      </c>
      <c r="B52" s="1">
        <v>2200</v>
      </c>
      <c r="C52" s="1">
        <v>4080</v>
      </c>
      <c r="D52" t="str">
        <f>IF(Excel_jumia_dataset3[[#This Row],[Current Price]]="","Missing",IF(Excel_jumia_dataset3[[#This Row],[Current Price]]&lt;Data_Analysis!$B$21,"Low Price",IF(Excel_jumia_dataset3[[#This Row],[Current Price]]&lt;Data_Analysis!$B$22,"Medium Price","High Price")))</f>
        <v>High Price</v>
      </c>
      <c r="E52" s="1">
        <f>Excel_jumia_dataset3[[#This Row],[Old Price]]-Excel_jumia_dataset3[[#This Row],[Current Price]]</f>
        <v>1880</v>
      </c>
      <c r="F52" s="2">
        <v>0.46</v>
      </c>
      <c r="G52" t="str">
        <f>IF(F52&lt;20%,"Low Discount",IF(F52&lt;=40%,"Medium Discount", "High Discount"))</f>
        <v>High Discount</v>
      </c>
      <c r="I52" s="44" t="s">
        <v>78</v>
      </c>
      <c r="J52" t="s">
        <v>428</v>
      </c>
    </row>
    <row r="53" spans="1:10" x14ac:dyDescent="0.45">
      <c r="A53" t="s">
        <v>171</v>
      </c>
      <c r="B53" s="1">
        <v>499</v>
      </c>
      <c r="C53" s="1">
        <v>900</v>
      </c>
      <c r="D53" t="str">
        <f>IF(Excel_jumia_dataset3[[#This Row],[Current Price]]="","Missing",IF(Excel_jumia_dataset3[[#This Row],[Current Price]]&lt;Data_Analysis!$B$21,"Low Price",IF(Excel_jumia_dataset3[[#This Row],[Current Price]]&lt;Data_Analysis!$B$22,"Medium Price","High Price")))</f>
        <v>Medium Price</v>
      </c>
      <c r="E53" s="1">
        <f>Excel_jumia_dataset3[[#This Row],[Old Price]]-Excel_jumia_dataset3[[#This Row],[Current Price]]</f>
        <v>401</v>
      </c>
      <c r="F53" s="2">
        <v>0.45</v>
      </c>
      <c r="G53" t="str">
        <f>IF(F53&lt;20%,"Low Discount",IF(F53&lt;=40%,"Medium Discount", "High Discount"))</f>
        <v>High Discount</v>
      </c>
      <c r="I53" s="44" t="s">
        <v>78</v>
      </c>
      <c r="J53" t="s">
        <v>428</v>
      </c>
    </row>
    <row r="54" spans="1:10" x14ac:dyDescent="0.45">
      <c r="A54" t="s">
        <v>123</v>
      </c>
      <c r="B54" s="1">
        <v>389</v>
      </c>
      <c r="C54" s="1">
        <v>656</v>
      </c>
      <c r="D54" t="str">
        <f>IF(Excel_jumia_dataset3[[#This Row],[Current Price]]="","Missing",IF(Excel_jumia_dataset3[[#This Row],[Current Price]]&lt;Data_Analysis!$B$21,"Low Price",IF(Excel_jumia_dataset3[[#This Row],[Current Price]]&lt;Data_Analysis!$B$22,"Medium Price","High Price")))</f>
        <v>Low Price</v>
      </c>
      <c r="E54" s="1">
        <f>Excel_jumia_dataset3[[#This Row],[Old Price]]-Excel_jumia_dataset3[[#This Row],[Current Price]]</f>
        <v>267</v>
      </c>
      <c r="F54" s="2">
        <v>0.41</v>
      </c>
      <c r="G54" t="str">
        <f>IF(F54&lt;20%,"Low Discount",IF(F54&lt;=40%,"Medium Discount", "High Discount"))</f>
        <v>High Discount</v>
      </c>
      <c r="H54" s="45">
        <v>36</v>
      </c>
      <c r="I54" s="44">
        <v>4.3</v>
      </c>
      <c r="J54" t="str">
        <f>IF(ISBLANK(I54),"",IF(I54&lt;3,"Poor",IF(I54&gt;=4.5,"Excellent","Average")))</f>
        <v>Average</v>
      </c>
    </row>
    <row r="55" spans="1:10" x14ac:dyDescent="0.45">
      <c r="A55" t="s">
        <v>236</v>
      </c>
      <c r="B55" s="1">
        <v>690</v>
      </c>
      <c r="C55" s="1">
        <v>1200</v>
      </c>
      <c r="D55" t="str">
        <f>IF(Excel_jumia_dataset3[[#This Row],[Current Price]]="","Missing",IF(Excel_jumia_dataset3[[#This Row],[Current Price]]&lt;Data_Analysis!$B$21,"Low Price",IF(Excel_jumia_dataset3[[#This Row],[Current Price]]&lt;Data_Analysis!$B$22,"Medium Price","High Price")))</f>
        <v>Medium Price</v>
      </c>
      <c r="E55" s="1">
        <f>Excel_jumia_dataset3[[#This Row],[Old Price]]-Excel_jumia_dataset3[[#This Row],[Current Price]]</f>
        <v>510</v>
      </c>
      <c r="F55" s="2">
        <v>0.43</v>
      </c>
      <c r="G55" t="str">
        <f>IF(F55&lt;20%,"Low Discount",IF(F55&lt;=40%,"Medium Discount", "High Discount"))</f>
        <v>High Discount</v>
      </c>
      <c r="I55" s="44" t="s">
        <v>78</v>
      </c>
      <c r="J55" t="s">
        <v>428</v>
      </c>
    </row>
    <row r="56" spans="1:10" x14ac:dyDescent="0.45">
      <c r="A56" t="s">
        <v>267</v>
      </c>
      <c r="B56" s="1">
        <v>630</v>
      </c>
      <c r="C56" s="1">
        <v>1100</v>
      </c>
      <c r="D56" t="str">
        <f>IF(Excel_jumia_dataset3[[#This Row],[Current Price]]="","Missing",IF(Excel_jumia_dataset3[[#This Row],[Current Price]]&lt;Data_Analysis!$B$21,"Low Price",IF(Excel_jumia_dataset3[[#This Row],[Current Price]]&lt;Data_Analysis!$B$22,"Medium Price","High Price")))</f>
        <v>Medium Price</v>
      </c>
      <c r="E56" s="1">
        <f>Excel_jumia_dataset3[[#This Row],[Old Price]]-Excel_jumia_dataset3[[#This Row],[Current Price]]</f>
        <v>470</v>
      </c>
      <c r="F56" s="2">
        <v>0.43</v>
      </c>
      <c r="G56" t="str">
        <f>IF(F56&lt;20%,"Low Discount",IF(F56&lt;=40%,"Medium Discount", "High Discount"))</f>
        <v>High Discount</v>
      </c>
      <c r="I56" s="44" t="s">
        <v>78</v>
      </c>
      <c r="J56" t="s">
        <v>428</v>
      </c>
    </row>
    <row r="57" spans="1:10" x14ac:dyDescent="0.45">
      <c r="A57" t="s">
        <v>75</v>
      </c>
      <c r="B57" s="1">
        <v>1860</v>
      </c>
      <c r="C57" s="1">
        <v>3220</v>
      </c>
      <c r="D57" t="str">
        <f>IF(Excel_jumia_dataset3[[#This Row],[Current Price]]="","Missing",IF(Excel_jumia_dataset3[[#This Row],[Current Price]]&lt;Data_Analysis!$B$21,"Low Price",IF(Excel_jumia_dataset3[[#This Row],[Current Price]]&lt;Data_Analysis!$B$22,"Medium Price","High Price")))</f>
        <v>High Price</v>
      </c>
      <c r="E57" s="1">
        <f>Excel_jumia_dataset3[[#This Row],[Old Price]]-Excel_jumia_dataset3[[#This Row],[Current Price]]</f>
        <v>1360</v>
      </c>
      <c r="F57" s="2">
        <v>0.42</v>
      </c>
      <c r="G57" t="str">
        <f>IF(F57&lt;20%,"Low Discount",IF(F57&lt;=40%,"Medium Discount", "High Discount"))</f>
        <v>High Discount</v>
      </c>
      <c r="I57" s="44" t="s">
        <v>78</v>
      </c>
      <c r="J57" t="s">
        <v>428</v>
      </c>
    </row>
    <row r="58" spans="1:10" x14ac:dyDescent="0.45">
      <c r="A58" t="s">
        <v>50</v>
      </c>
      <c r="B58" s="1">
        <v>501</v>
      </c>
      <c r="C58" s="1">
        <v>860</v>
      </c>
      <c r="D58" t="str">
        <f>IF(Excel_jumia_dataset3[[#This Row],[Current Price]]="","Missing",IF(Excel_jumia_dataset3[[#This Row],[Current Price]]&lt;Data_Analysis!$B$21,"Low Price",IF(Excel_jumia_dataset3[[#This Row],[Current Price]]&lt;Data_Analysis!$B$22,"Medium Price","High Price")))</f>
        <v>Medium Price</v>
      </c>
      <c r="E58" s="1">
        <f>Excel_jumia_dataset3[[#This Row],[Old Price]]-Excel_jumia_dataset3[[#This Row],[Current Price]]</f>
        <v>359</v>
      </c>
      <c r="F58" s="2">
        <v>0.42</v>
      </c>
      <c r="G58" t="str">
        <f>IF(F58&lt;20%,"Low Discount",IF(F58&lt;=40%,"Medium Discount", "High Discount"))</f>
        <v>High Discount</v>
      </c>
      <c r="H58" s="45">
        <v>6</v>
      </c>
      <c r="I58" s="44">
        <v>4.5</v>
      </c>
      <c r="J58" t="str">
        <f>IF(ISBLANK(I58),"",IF(I58&lt;3,"Poor",IF(I58&gt;=4.5,"Excellent","Average")))</f>
        <v>Excellent</v>
      </c>
    </row>
    <row r="59" spans="1:10" x14ac:dyDescent="0.45">
      <c r="A59" t="s">
        <v>293</v>
      </c>
      <c r="B59" s="1">
        <v>1080</v>
      </c>
      <c r="C59" s="1">
        <v>1874</v>
      </c>
      <c r="D59" t="str">
        <f>IF(Excel_jumia_dataset3[[#This Row],[Current Price]]="","Missing",IF(Excel_jumia_dataset3[[#This Row],[Current Price]]&lt;Data_Analysis!$B$21,"Low Price",IF(Excel_jumia_dataset3[[#This Row],[Current Price]]&lt;Data_Analysis!$B$22,"Medium Price","High Price")))</f>
        <v>Medium Price</v>
      </c>
      <c r="E59" s="1">
        <f>Excel_jumia_dataset3[[#This Row],[Old Price]]-Excel_jumia_dataset3[[#This Row],[Current Price]]</f>
        <v>794</v>
      </c>
      <c r="F59" s="2">
        <v>0.42</v>
      </c>
      <c r="G59" t="str">
        <f>IF(F59&lt;20%,"Low Discount",IF(F59&lt;=40%,"Medium Discount", "High Discount"))</f>
        <v>High Discount</v>
      </c>
      <c r="I59" s="44" t="s">
        <v>78</v>
      </c>
      <c r="J59" t="s">
        <v>428</v>
      </c>
    </row>
    <row r="60" spans="1:10" x14ac:dyDescent="0.45">
      <c r="A60" t="s">
        <v>138</v>
      </c>
      <c r="B60" s="1">
        <v>610</v>
      </c>
      <c r="C60" s="1">
        <v>1060</v>
      </c>
      <c r="D60" t="str">
        <f>IF(Excel_jumia_dataset3[[#This Row],[Current Price]]="","Missing",IF(Excel_jumia_dataset3[[#This Row],[Current Price]]&lt;Data_Analysis!$B$21,"Low Price",IF(Excel_jumia_dataset3[[#This Row],[Current Price]]&lt;Data_Analysis!$B$22,"Medium Price","High Price")))</f>
        <v>Medium Price</v>
      </c>
      <c r="E60" s="1">
        <f>Excel_jumia_dataset3[[#This Row],[Old Price]]-Excel_jumia_dataset3[[#This Row],[Current Price]]</f>
        <v>450</v>
      </c>
      <c r="F60" s="2">
        <v>0.42</v>
      </c>
      <c r="G60" t="str">
        <f>IF(F60&lt;20%,"Low Discount",IF(F60&lt;=40%,"Medium Discount", "High Discount"))</f>
        <v>High Discount</v>
      </c>
      <c r="I60" s="44" t="s">
        <v>78</v>
      </c>
      <c r="J60" t="s">
        <v>428</v>
      </c>
    </row>
    <row r="61" spans="1:10" x14ac:dyDescent="0.45">
      <c r="A61" t="s">
        <v>225</v>
      </c>
      <c r="B61" s="1">
        <v>509</v>
      </c>
      <c r="C61" s="1">
        <v>899</v>
      </c>
      <c r="D61" t="str">
        <f>IF(Excel_jumia_dataset3[[#This Row],[Current Price]]="","Missing",IF(Excel_jumia_dataset3[[#This Row],[Current Price]]&lt;Data_Analysis!$B$21,"Low Price",IF(Excel_jumia_dataset3[[#This Row],[Current Price]]&lt;Data_Analysis!$B$22,"Medium Price","High Price")))</f>
        <v>Medium Price</v>
      </c>
      <c r="E61" s="1">
        <f>Excel_jumia_dataset3[[#This Row],[Old Price]]-Excel_jumia_dataset3[[#This Row],[Current Price]]</f>
        <v>390</v>
      </c>
      <c r="F61" s="2">
        <v>0.43</v>
      </c>
      <c r="G61" t="str">
        <f>IF(F61&lt;20%,"Low Discount",IF(F61&lt;=40%,"Medium Discount", "High Discount"))</f>
        <v>High Discount</v>
      </c>
      <c r="H61" s="45">
        <v>5</v>
      </c>
      <c r="I61" s="44">
        <v>3</v>
      </c>
      <c r="J61" t="str">
        <f>IF(ISBLANK(I61),"",IF(I61&lt;3,"Poor",IF(I61&gt;=4.5,"Excellent","Average")))</f>
        <v>Average</v>
      </c>
    </row>
    <row r="62" spans="1:10" x14ac:dyDescent="0.45">
      <c r="A62" t="s">
        <v>222</v>
      </c>
      <c r="B62" s="1">
        <v>345</v>
      </c>
      <c r="C62" s="1">
        <v>602</v>
      </c>
      <c r="D62" t="str">
        <f>IF(Excel_jumia_dataset3[[#This Row],[Current Price]]="","Missing",IF(Excel_jumia_dataset3[[#This Row],[Current Price]]&lt;Data_Analysis!$B$21,"Low Price",IF(Excel_jumia_dataset3[[#This Row],[Current Price]]&lt;Data_Analysis!$B$22,"Medium Price","High Price")))</f>
        <v>Low Price</v>
      </c>
      <c r="E62" s="1">
        <f>Excel_jumia_dataset3[[#This Row],[Old Price]]-Excel_jumia_dataset3[[#This Row],[Current Price]]</f>
        <v>257</v>
      </c>
      <c r="F62" s="2">
        <v>0.43</v>
      </c>
      <c r="G62" t="str">
        <f>IF(F62&lt;20%,"Low Discount",IF(F62&lt;=40%,"Medium Discount", "High Discount"))</f>
        <v>High Discount</v>
      </c>
      <c r="H62" s="45">
        <v>6</v>
      </c>
      <c r="I62" s="44">
        <v>2.2999999999999998</v>
      </c>
      <c r="J62" t="str">
        <f>IF(ISBLANK(I62),"",IF(I62&lt;3,"Poor",IF(I62&gt;=4.5,"Excellent","Average")))</f>
        <v>Poor</v>
      </c>
    </row>
    <row r="63" spans="1:10" x14ac:dyDescent="0.45">
      <c r="A63" t="s">
        <v>38</v>
      </c>
      <c r="B63" s="1">
        <v>1600</v>
      </c>
      <c r="C63" s="1">
        <v>2929</v>
      </c>
      <c r="D63" t="str">
        <f>IF(Excel_jumia_dataset3[[#This Row],[Current Price]]="","Missing",IF(Excel_jumia_dataset3[[#This Row],[Current Price]]&lt;Data_Analysis!$B$21,"Low Price",IF(Excel_jumia_dataset3[[#This Row],[Current Price]]&lt;Data_Analysis!$B$22,"Medium Price","High Price")))</f>
        <v>Medium Price</v>
      </c>
      <c r="E63" s="1">
        <f>Excel_jumia_dataset3[[#This Row],[Old Price]]-Excel_jumia_dataset3[[#This Row],[Current Price]]</f>
        <v>1329</v>
      </c>
      <c r="F63" s="2">
        <v>0.45</v>
      </c>
      <c r="G63" t="str">
        <f>IF(F63&lt;20%,"Low Discount",IF(F63&lt;=40%,"Medium Discount", "High Discount"))</f>
        <v>High Discount</v>
      </c>
      <c r="H63" s="45">
        <v>5</v>
      </c>
      <c r="I63" s="44">
        <v>3.8</v>
      </c>
      <c r="J63" t="str">
        <f>IF(ISBLANK(I63),"",IF(I63&lt;3,"Poor",IF(I63&gt;=4.5,"Excellent","Average")))</f>
        <v>Average</v>
      </c>
    </row>
    <row r="64" spans="1:10" x14ac:dyDescent="0.45">
      <c r="A64" t="s">
        <v>207</v>
      </c>
      <c r="B64" s="1">
        <v>990</v>
      </c>
      <c r="C64" s="1">
        <v>1814</v>
      </c>
      <c r="D64" t="str">
        <f>IF(Excel_jumia_dataset3[[#This Row],[Current Price]]="","Missing",IF(Excel_jumia_dataset3[[#This Row],[Current Price]]&lt;Data_Analysis!$B$21,"Low Price",IF(Excel_jumia_dataset3[[#This Row],[Current Price]]&lt;Data_Analysis!$B$22,"Medium Price","High Price")))</f>
        <v>Medium Price</v>
      </c>
      <c r="E64" s="1">
        <f>Excel_jumia_dataset3[[#This Row],[Old Price]]-Excel_jumia_dataset3[[#This Row],[Current Price]]</f>
        <v>824</v>
      </c>
      <c r="F64" s="2">
        <v>0.45</v>
      </c>
      <c r="G64" t="str">
        <f>IF(F64&lt;20%,"Low Discount",IF(F64&lt;=40%,"Medium Discount", "High Discount"))</f>
        <v>High Discount</v>
      </c>
      <c r="H64" s="45">
        <v>6</v>
      </c>
      <c r="I64" s="44">
        <v>2.2000000000000002</v>
      </c>
      <c r="J64" t="str">
        <f>IF(ISBLANK(I64),"",IF(I64&lt;3,"Poor",IF(I64&gt;=4.5,"Excellent","Average")))</f>
        <v>Poor</v>
      </c>
    </row>
    <row r="65" spans="1:10" x14ac:dyDescent="0.45">
      <c r="A65" t="s">
        <v>299</v>
      </c>
      <c r="B65" s="1">
        <v>1420</v>
      </c>
      <c r="C65" s="1">
        <v>2420</v>
      </c>
      <c r="D65" t="str">
        <f>IF(Excel_jumia_dataset3[[#This Row],[Current Price]]="","Missing",IF(Excel_jumia_dataset3[[#This Row],[Current Price]]&lt;Data_Analysis!$B$21,"Low Price",IF(Excel_jumia_dataset3[[#This Row],[Current Price]]&lt;Data_Analysis!$B$22,"Medium Price","High Price")))</f>
        <v>Medium Price</v>
      </c>
      <c r="E65" s="1">
        <f>Excel_jumia_dataset3[[#This Row],[Old Price]]-Excel_jumia_dataset3[[#This Row],[Current Price]]</f>
        <v>1000</v>
      </c>
      <c r="F65" s="2">
        <v>0.41</v>
      </c>
      <c r="G65" t="str">
        <f>IF(F65&lt;20%,"Low Discount",IF(F65&lt;=40%,"Medium Discount", "High Discount"))</f>
        <v>High Discount</v>
      </c>
      <c r="I65" s="44" t="s">
        <v>78</v>
      </c>
      <c r="J65" t="s">
        <v>428</v>
      </c>
    </row>
    <row r="66" spans="1:10" x14ac:dyDescent="0.45">
      <c r="A66" t="s">
        <v>216</v>
      </c>
      <c r="B66" s="1">
        <v>382</v>
      </c>
      <c r="C66" s="1">
        <v>700</v>
      </c>
      <c r="D66" t="str">
        <f>IF(Excel_jumia_dataset3[[#This Row],[Current Price]]="","Missing",IF(Excel_jumia_dataset3[[#This Row],[Current Price]]&lt;Data_Analysis!$B$21,"Low Price",IF(Excel_jumia_dataset3[[#This Row],[Current Price]]&lt;Data_Analysis!$B$22,"Medium Price","High Price")))</f>
        <v>Low Price</v>
      </c>
      <c r="E66" s="1">
        <f>Excel_jumia_dataset3[[#This Row],[Old Price]]-Excel_jumia_dataset3[[#This Row],[Current Price]]</f>
        <v>318</v>
      </c>
      <c r="F66" s="2">
        <v>0.45</v>
      </c>
      <c r="G66" t="str">
        <f>IF(F66&lt;20%,"Low Discount",IF(F66&lt;=40%,"Medium Discount", "High Discount"))</f>
        <v>High Discount</v>
      </c>
      <c r="H66" s="45">
        <v>17</v>
      </c>
      <c r="I66" s="44">
        <v>2.6</v>
      </c>
      <c r="J66" t="str">
        <f>IF(ISBLANK(I66),"",IF(I66&lt;3,"Poor",IF(I66&gt;=4.5,"Excellent","Average")))</f>
        <v>Poor</v>
      </c>
    </row>
    <row r="67" spans="1:10" x14ac:dyDescent="0.45">
      <c r="A67" t="s">
        <v>169</v>
      </c>
      <c r="B67" s="1">
        <v>799</v>
      </c>
      <c r="C67" s="1">
        <v>1343</v>
      </c>
      <c r="D67" t="str">
        <f>IF(Excel_jumia_dataset3[[#This Row],[Current Price]]="","Missing",IF(Excel_jumia_dataset3[[#This Row],[Current Price]]&lt;Data_Analysis!$B$21,"Low Price",IF(Excel_jumia_dataset3[[#This Row],[Current Price]]&lt;Data_Analysis!$B$22,"Medium Price","High Price")))</f>
        <v>Medium Price</v>
      </c>
      <c r="E67" s="1">
        <f>Excel_jumia_dataset3[[#This Row],[Old Price]]-Excel_jumia_dataset3[[#This Row],[Current Price]]</f>
        <v>544</v>
      </c>
      <c r="F67" s="2">
        <v>0.41</v>
      </c>
      <c r="G67" t="str">
        <f>IF(F67&lt;20%,"Low Discount",IF(F67&lt;=40%,"Medium Discount", "High Discount"))</f>
        <v>High Discount</v>
      </c>
      <c r="I67" s="44" t="s">
        <v>78</v>
      </c>
      <c r="J67" t="s">
        <v>428</v>
      </c>
    </row>
    <row r="68" spans="1:10" x14ac:dyDescent="0.45">
      <c r="A68" t="s">
        <v>244</v>
      </c>
      <c r="B68" s="1">
        <v>1189</v>
      </c>
      <c r="C68" s="1">
        <v>2199</v>
      </c>
      <c r="D68" t="str">
        <f>IF(Excel_jumia_dataset3[[#This Row],[Current Price]]="","Missing",IF(Excel_jumia_dataset3[[#This Row],[Current Price]]&lt;Data_Analysis!$B$21,"Low Price",IF(Excel_jumia_dataset3[[#This Row],[Current Price]]&lt;Data_Analysis!$B$22,"Medium Price","High Price")))</f>
        <v>Medium Price</v>
      </c>
      <c r="E68" s="1">
        <f>Excel_jumia_dataset3[[#This Row],[Old Price]]-Excel_jumia_dataset3[[#This Row],[Current Price]]</f>
        <v>1010</v>
      </c>
      <c r="F68" s="2">
        <v>0.46</v>
      </c>
      <c r="G68" t="str">
        <f>IF(F68&lt;20%,"Low Discount",IF(F68&lt;=40%,"Medium Discount", "High Discount"))</f>
        <v>High Discount</v>
      </c>
      <c r="H68" s="45">
        <v>1</v>
      </c>
      <c r="I68" s="44">
        <v>3</v>
      </c>
      <c r="J68" t="str">
        <f>IF(ISBLANK(I68),"",IF(I68&lt;3,"Poor",IF(I68&gt;=4.5,"Excellent","Average")))</f>
        <v>Average</v>
      </c>
    </row>
    <row r="69" spans="1:10" x14ac:dyDescent="0.45">
      <c r="A69" t="s">
        <v>60</v>
      </c>
      <c r="B69" s="1">
        <v>195</v>
      </c>
      <c r="C69" s="1">
        <v>360</v>
      </c>
      <c r="D69" t="str">
        <f>IF(Excel_jumia_dataset3[[#This Row],[Current Price]]="","Missing",IF(Excel_jumia_dataset3[[#This Row],[Current Price]]&lt;Data_Analysis!$B$21,"Low Price",IF(Excel_jumia_dataset3[[#This Row],[Current Price]]&lt;Data_Analysis!$B$22,"Medium Price","High Price")))</f>
        <v>Low Price</v>
      </c>
      <c r="E69" s="1">
        <f>Excel_jumia_dataset3[[#This Row],[Old Price]]-Excel_jumia_dataset3[[#This Row],[Current Price]]</f>
        <v>165</v>
      </c>
      <c r="F69" s="2">
        <v>0.46</v>
      </c>
      <c r="G69" t="str">
        <f>IF(F69&lt;20%,"Low Discount",IF(F69&lt;=40%,"Medium Discount", "High Discount"))</f>
        <v>High Discount</v>
      </c>
      <c r="H69" s="45">
        <v>2</v>
      </c>
      <c r="I69" s="44">
        <v>5</v>
      </c>
      <c r="J69" t="str">
        <f>IF(ISBLANK(I69),"",IF(I69&lt;3,"Poor",IF(I69&gt;=4.5,"Excellent","Average")))</f>
        <v>Excellent</v>
      </c>
    </row>
    <row r="70" spans="1:10" x14ac:dyDescent="0.45">
      <c r="A70" t="s">
        <v>230</v>
      </c>
      <c r="B70" s="1">
        <v>1570</v>
      </c>
      <c r="C70" s="1">
        <v>2988</v>
      </c>
      <c r="D70" t="str">
        <f>IF(Excel_jumia_dataset3[[#This Row],[Current Price]]="","Missing",IF(Excel_jumia_dataset3[[#This Row],[Current Price]]&lt;Data_Analysis!$B$21,"Low Price",IF(Excel_jumia_dataset3[[#This Row],[Current Price]]&lt;Data_Analysis!$B$22,"Medium Price","High Price")))</f>
        <v>Medium Price</v>
      </c>
      <c r="E70" s="1">
        <f>Excel_jumia_dataset3[[#This Row],[Old Price]]-Excel_jumia_dataset3[[#This Row],[Current Price]]</f>
        <v>1418</v>
      </c>
      <c r="F70" s="2">
        <v>0.47</v>
      </c>
      <c r="G70" t="str">
        <f>IF(F70&lt;20%,"Low Discount",IF(F70&lt;=40%,"Medium Discount", "High Discount"))</f>
        <v>High Discount</v>
      </c>
      <c r="H70" s="45">
        <v>7</v>
      </c>
      <c r="I70" s="44">
        <v>2.1</v>
      </c>
      <c r="J70" t="str">
        <f>IF(ISBLANK(I70),"",IF(I70&lt;3,"Poor",IF(I70&gt;=4.5,"Excellent","Average")))</f>
        <v>Poor</v>
      </c>
    </row>
    <row r="71" spans="1:10" x14ac:dyDescent="0.45">
      <c r="A71" t="s">
        <v>228</v>
      </c>
      <c r="B71" s="1">
        <v>968</v>
      </c>
      <c r="C71" s="1">
        <v>1814</v>
      </c>
      <c r="D71" t="str">
        <f>IF(Excel_jumia_dataset3[[#This Row],[Current Price]]="","Missing",IF(Excel_jumia_dataset3[[#This Row],[Current Price]]&lt;Data_Analysis!$B$21,"Low Price",IF(Excel_jumia_dataset3[[#This Row],[Current Price]]&lt;Data_Analysis!$B$22,"Medium Price","High Price")))</f>
        <v>Medium Price</v>
      </c>
      <c r="E71" s="1">
        <f>Excel_jumia_dataset3[[#This Row],[Old Price]]-Excel_jumia_dataset3[[#This Row],[Current Price]]</f>
        <v>846</v>
      </c>
      <c r="F71" s="2">
        <v>0.47</v>
      </c>
      <c r="G71" t="str">
        <f>IF(F71&lt;20%,"Low Discount",IF(F71&lt;=40%,"Medium Discount", "High Discount"))</f>
        <v>High Discount</v>
      </c>
      <c r="H71" s="45">
        <v>6</v>
      </c>
      <c r="I71" s="44">
        <v>2.2000000000000002</v>
      </c>
      <c r="J71" t="str">
        <f>IF(ISBLANK(I71),"",IF(I71&lt;3,"Poor",IF(I71&gt;=4.5,"Excellent","Average")))</f>
        <v>Poor</v>
      </c>
    </row>
    <row r="72" spans="1:10" x14ac:dyDescent="0.45">
      <c r="A72" t="s">
        <v>129</v>
      </c>
      <c r="B72" s="1">
        <v>2750</v>
      </c>
      <c r="C72" s="1">
        <v>4471</v>
      </c>
      <c r="D72" t="str">
        <f>IF(Excel_jumia_dataset3[[#This Row],[Current Price]]="","Missing",IF(Excel_jumia_dataset3[[#This Row],[Current Price]]&lt;Data_Analysis!$B$21,"Low Price",IF(Excel_jumia_dataset3[[#This Row],[Current Price]]&lt;Data_Analysis!$B$22,"Medium Price","High Price")))</f>
        <v>High Price</v>
      </c>
      <c r="E72" s="1">
        <f>Excel_jumia_dataset3[[#This Row],[Old Price]]-Excel_jumia_dataset3[[#This Row],[Current Price]]</f>
        <v>1721</v>
      </c>
      <c r="F72" s="2">
        <v>0.38</v>
      </c>
      <c r="G72" t="str">
        <f>IF(F72&lt;20%,"Low Discount",IF(F72&lt;=40%,"Medium Discount", "High Discount"))</f>
        <v>Medium Discount</v>
      </c>
      <c r="I72" s="44" t="s">
        <v>78</v>
      </c>
      <c r="J72" t="s">
        <v>428</v>
      </c>
    </row>
    <row r="73" spans="1:10" x14ac:dyDescent="0.45">
      <c r="A73" t="s">
        <v>152</v>
      </c>
      <c r="B73" s="1">
        <v>1200</v>
      </c>
      <c r="C73" s="1">
        <v>1950</v>
      </c>
      <c r="D73" t="str">
        <f>IF(Excel_jumia_dataset3[[#This Row],[Current Price]]="","Missing",IF(Excel_jumia_dataset3[[#This Row],[Current Price]]&lt;Data_Analysis!$B$21,"Low Price",IF(Excel_jumia_dataset3[[#This Row],[Current Price]]&lt;Data_Analysis!$B$22,"Medium Price","High Price")))</f>
        <v>Medium Price</v>
      </c>
      <c r="E73" s="1">
        <f>Excel_jumia_dataset3[[#This Row],[Old Price]]-Excel_jumia_dataset3[[#This Row],[Current Price]]</f>
        <v>750</v>
      </c>
      <c r="F73" s="2">
        <v>0.38</v>
      </c>
      <c r="G73" t="str">
        <f>IF(F73&lt;20%,"Low Discount",IF(F73&lt;=40%,"Medium Discount", "High Discount"))</f>
        <v>Medium Discount</v>
      </c>
      <c r="I73" s="44" t="s">
        <v>78</v>
      </c>
      <c r="J73" t="s">
        <v>428</v>
      </c>
    </row>
    <row r="74" spans="1:10" x14ac:dyDescent="0.45">
      <c r="A74" t="s">
        <v>47</v>
      </c>
      <c r="B74" s="1">
        <v>552</v>
      </c>
      <c r="C74" s="1">
        <v>1035</v>
      </c>
      <c r="D74" t="str">
        <f>IF(Excel_jumia_dataset3[[#This Row],[Current Price]]="","Missing",IF(Excel_jumia_dataset3[[#This Row],[Current Price]]&lt;Data_Analysis!$B$21,"Low Price",IF(Excel_jumia_dataset3[[#This Row],[Current Price]]&lt;Data_Analysis!$B$22,"Medium Price","High Price")))</f>
        <v>Medium Price</v>
      </c>
      <c r="E74" s="1">
        <f>Excel_jumia_dataset3[[#This Row],[Old Price]]-Excel_jumia_dataset3[[#This Row],[Current Price]]</f>
        <v>483</v>
      </c>
      <c r="F74" s="2">
        <v>0.47</v>
      </c>
      <c r="G74" t="str">
        <f>IF(F74&lt;20%,"Low Discount",IF(F74&lt;=40%,"Medium Discount", "High Discount"))</f>
        <v>High Discount</v>
      </c>
      <c r="H74" s="45">
        <v>12</v>
      </c>
      <c r="I74" s="44">
        <v>4.8</v>
      </c>
      <c r="J74" t="str">
        <f>IF(ISBLANK(I74),"",IF(I74&lt;3,"Poor",IF(I74&gt;=4.5,"Excellent","Average")))</f>
        <v>Excellent</v>
      </c>
    </row>
    <row r="75" spans="1:10" x14ac:dyDescent="0.45">
      <c r="A75" t="s">
        <v>10</v>
      </c>
      <c r="B75" s="1">
        <v>527</v>
      </c>
      <c r="C75" s="1">
        <v>999</v>
      </c>
      <c r="D75" t="str">
        <f>IF(Excel_jumia_dataset3[[#This Row],[Current Price]]="","Missing",IF(Excel_jumia_dataset3[[#This Row],[Current Price]]&lt;Data_Analysis!$B$21,"Low Price",IF(Excel_jumia_dataset3[[#This Row],[Current Price]]&lt;Data_Analysis!$B$22,"Medium Price","High Price")))</f>
        <v>Medium Price</v>
      </c>
      <c r="E75" s="1">
        <f>Excel_jumia_dataset3[[#This Row],[Old Price]]-Excel_jumia_dataset3[[#This Row],[Current Price]]</f>
        <v>472</v>
      </c>
      <c r="F75" s="2">
        <v>0.47</v>
      </c>
      <c r="G75" t="str">
        <f>IF(F75&lt;20%,"Low Discount",IF(F75&lt;=40%,"Medium Discount", "High Discount"))</f>
        <v>High Discount</v>
      </c>
      <c r="H75" s="45">
        <v>14</v>
      </c>
      <c r="I75" s="44">
        <v>4.0999999999999996</v>
      </c>
      <c r="J75" t="str">
        <f>IF(ISBLANK(I75),"",IF(I75&lt;3,"Poor",IF(I75&gt;=4.5,"Excellent","Average")))</f>
        <v>Average</v>
      </c>
    </row>
    <row r="76" spans="1:10" x14ac:dyDescent="0.45">
      <c r="A76" t="s">
        <v>249</v>
      </c>
      <c r="B76" s="1">
        <v>1460</v>
      </c>
      <c r="C76" s="1">
        <v>2290</v>
      </c>
      <c r="D76" t="str">
        <f>IF(Excel_jumia_dataset3[[#This Row],[Current Price]]="","Missing",IF(Excel_jumia_dataset3[[#This Row],[Current Price]]&lt;Data_Analysis!$B$21,"Low Price",IF(Excel_jumia_dataset3[[#This Row],[Current Price]]&lt;Data_Analysis!$B$22,"Medium Price","High Price")))</f>
        <v>Medium Price</v>
      </c>
      <c r="E76" s="1">
        <f>Excel_jumia_dataset3[[#This Row],[Old Price]]-Excel_jumia_dataset3[[#This Row],[Current Price]]</f>
        <v>830</v>
      </c>
      <c r="F76" s="2">
        <v>0.36</v>
      </c>
      <c r="G76" t="str">
        <f>IF(F76&lt;20%,"Low Discount",IF(F76&lt;=40%,"Medium Discount", "High Discount"))</f>
        <v>Medium Discount</v>
      </c>
      <c r="I76" s="44" t="s">
        <v>78</v>
      </c>
      <c r="J76" t="s">
        <v>428</v>
      </c>
    </row>
    <row r="77" spans="1:10" x14ac:dyDescent="0.45">
      <c r="A77" t="s">
        <v>109</v>
      </c>
      <c r="B77" s="1">
        <v>1820</v>
      </c>
      <c r="C77" s="1">
        <v>3490</v>
      </c>
      <c r="D77" t="str">
        <f>IF(Excel_jumia_dataset3[[#This Row],[Current Price]]="","Missing",IF(Excel_jumia_dataset3[[#This Row],[Current Price]]&lt;Data_Analysis!$B$21,"Low Price",IF(Excel_jumia_dataset3[[#This Row],[Current Price]]&lt;Data_Analysis!$B$22,"Medium Price","High Price")))</f>
        <v>High Price</v>
      </c>
      <c r="E77" s="1">
        <f>Excel_jumia_dataset3[[#This Row],[Old Price]]-Excel_jumia_dataset3[[#This Row],[Current Price]]</f>
        <v>1670</v>
      </c>
      <c r="F77" s="2">
        <v>0.48</v>
      </c>
      <c r="G77" t="str">
        <f>IF(F77&lt;20%,"Low Discount",IF(F77&lt;=40%,"Medium Discount", "High Discount"))</f>
        <v>High Discount</v>
      </c>
      <c r="H77" s="45">
        <v>9</v>
      </c>
      <c r="I77" s="44">
        <v>4.3</v>
      </c>
      <c r="J77" t="str">
        <f>IF(ISBLANK(I77),"",IF(I77&lt;3,"Poor",IF(I77&gt;=4.5,"Excellent","Average")))</f>
        <v>Average</v>
      </c>
    </row>
    <row r="78" spans="1:10" x14ac:dyDescent="0.45">
      <c r="A78" t="s">
        <v>311</v>
      </c>
      <c r="B78" s="1">
        <v>1190</v>
      </c>
      <c r="C78" s="1">
        <v>1810</v>
      </c>
      <c r="D78" t="str">
        <f>IF(Excel_jumia_dataset3[[#This Row],[Current Price]]="","Missing",IF(Excel_jumia_dataset3[[#This Row],[Current Price]]&lt;Data_Analysis!$B$21,"Low Price",IF(Excel_jumia_dataset3[[#This Row],[Current Price]]&lt;Data_Analysis!$B$22,"Medium Price","High Price")))</f>
        <v>Medium Price</v>
      </c>
      <c r="E78" s="1">
        <f>Excel_jumia_dataset3[[#This Row],[Old Price]]-Excel_jumia_dataset3[[#This Row],[Current Price]]</f>
        <v>620</v>
      </c>
      <c r="F78" s="2">
        <v>0.34</v>
      </c>
      <c r="G78" t="str">
        <f>IF(F78&lt;20%,"Low Discount",IF(F78&lt;=40%,"Medium Discount", "High Discount"))</f>
        <v>Medium Discount</v>
      </c>
      <c r="I78" s="44" t="s">
        <v>78</v>
      </c>
      <c r="J78" t="s">
        <v>428</v>
      </c>
    </row>
    <row r="79" spans="1:10" x14ac:dyDescent="0.45">
      <c r="A79" t="s">
        <v>308</v>
      </c>
      <c r="B79" s="1">
        <v>1150</v>
      </c>
      <c r="C79" s="1">
        <v>1737</v>
      </c>
      <c r="D79" t="str">
        <f>IF(Excel_jumia_dataset3[[#This Row],[Current Price]]="","Missing",IF(Excel_jumia_dataset3[[#This Row],[Current Price]]&lt;Data_Analysis!$B$21,"Low Price",IF(Excel_jumia_dataset3[[#This Row],[Current Price]]&lt;Data_Analysis!$B$22,"Medium Price","High Price")))</f>
        <v>Medium Price</v>
      </c>
      <c r="E79" s="1">
        <f>Excel_jumia_dataset3[[#This Row],[Old Price]]-Excel_jumia_dataset3[[#This Row],[Current Price]]</f>
        <v>587</v>
      </c>
      <c r="F79" s="2">
        <v>0.34</v>
      </c>
      <c r="G79" t="str">
        <f>IF(F79&lt;20%,"Low Discount",IF(F79&lt;=40%,"Medium Discount", "High Discount"))</f>
        <v>Medium Discount</v>
      </c>
      <c r="I79" s="44" t="s">
        <v>78</v>
      </c>
      <c r="J79" t="s">
        <v>428</v>
      </c>
    </row>
    <row r="80" spans="1:10" x14ac:dyDescent="0.45">
      <c r="A80" t="s">
        <v>146</v>
      </c>
      <c r="B80" s="1">
        <v>1190</v>
      </c>
      <c r="C80" s="1">
        <v>1785</v>
      </c>
      <c r="D80" t="str">
        <f>IF(Excel_jumia_dataset3[[#This Row],[Current Price]]="","Missing",IF(Excel_jumia_dataset3[[#This Row],[Current Price]]&lt;Data_Analysis!$B$21,"Low Price",IF(Excel_jumia_dataset3[[#This Row],[Current Price]]&lt;Data_Analysis!$B$22,"Medium Price","High Price")))</f>
        <v>Medium Price</v>
      </c>
      <c r="E80" s="1">
        <f>Excel_jumia_dataset3[[#This Row],[Old Price]]-Excel_jumia_dataset3[[#This Row],[Current Price]]</f>
        <v>595</v>
      </c>
      <c r="F80" s="2">
        <v>0.33</v>
      </c>
      <c r="G80" t="str">
        <f>IF(F80&lt;20%,"Low Discount",IF(F80&lt;=40%,"Medium Discount", "High Discount"))</f>
        <v>Medium Discount</v>
      </c>
      <c r="I80" s="44" t="s">
        <v>78</v>
      </c>
      <c r="J80" t="s">
        <v>428</v>
      </c>
    </row>
    <row r="81" spans="1:10" x14ac:dyDescent="0.45">
      <c r="A81" t="s">
        <v>63</v>
      </c>
      <c r="B81" s="1">
        <v>2025</v>
      </c>
      <c r="C81" s="1">
        <v>3971</v>
      </c>
      <c r="D81" t="str">
        <f>IF(Excel_jumia_dataset3[[#This Row],[Current Price]]="","Missing",IF(Excel_jumia_dataset3[[#This Row],[Current Price]]&lt;Data_Analysis!$B$21,"Low Price",IF(Excel_jumia_dataset3[[#This Row],[Current Price]]&lt;Data_Analysis!$B$22,"Medium Price","High Price")))</f>
        <v>High Price</v>
      </c>
      <c r="E81" s="1">
        <f>Excel_jumia_dataset3[[#This Row],[Old Price]]-Excel_jumia_dataset3[[#This Row],[Current Price]]</f>
        <v>1946</v>
      </c>
      <c r="F81" s="2">
        <v>0.49</v>
      </c>
      <c r="G81" t="str">
        <f>IF(F81&lt;20%,"Low Discount",IF(F81&lt;=40%,"Medium Discount", "High Discount"))</f>
        <v>High Discount</v>
      </c>
      <c r="H81" s="45">
        <v>3</v>
      </c>
      <c r="I81" s="44">
        <v>5</v>
      </c>
      <c r="J81" t="str">
        <f>IF(ISBLANK(I81),"",IF(I81&lt;3,"Poor",IF(I81&gt;=4.5,"Excellent","Average")))</f>
        <v>Excellent</v>
      </c>
    </row>
    <row r="82" spans="1:10" x14ac:dyDescent="0.45">
      <c r="A82" t="s">
        <v>68</v>
      </c>
      <c r="B82" s="1">
        <v>998</v>
      </c>
      <c r="C82" s="1">
        <v>1966</v>
      </c>
      <c r="D82" t="str">
        <f>IF(Excel_jumia_dataset3[[#This Row],[Current Price]]="","Missing",IF(Excel_jumia_dataset3[[#This Row],[Current Price]]&lt;Data_Analysis!$B$21,"Low Price",IF(Excel_jumia_dataset3[[#This Row],[Current Price]]&lt;Data_Analysis!$B$22,"Medium Price","High Price")))</f>
        <v>Medium Price</v>
      </c>
      <c r="E82" s="1">
        <f>Excel_jumia_dataset3[[#This Row],[Old Price]]-Excel_jumia_dataset3[[#This Row],[Current Price]]</f>
        <v>968</v>
      </c>
      <c r="F82" s="2">
        <v>0.49</v>
      </c>
      <c r="G82" t="str">
        <f>IF(F82&lt;20%,"Low Discount",IF(F82&lt;=40%,"Medium Discount", "High Discount"))</f>
        <v>High Discount</v>
      </c>
      <c r="H82" s="45">
        <v>44</v>
      </c>
      <c r="I82" s="44">
        <v>4.5999999999999996</v>
      </c>
      <c r="J82" t="str">
        <f>IF(ISBLANK(I82),"",IF(I82&lt;3,"Poor",IF(I82&gt;=4.5,"Excellent","Average")))</f>
        <v>Excellent</v>
      </c>
    </row>
    <row r="83" spans="1:10" x14ac:dyDescent="0.45">
      <c r="A83" t="s">
        <v>246</v>
      </c>
      <c r="B83" s="1">
        <v>979</v>
      </c>
      <c r="C83" s="1">
        <v>1920</v>
      </c>
      <c r="D83" t="str">
        <f>IF(Excel_jumia_dataset3[[#This Row],[Current Price]]="","Missing",IF(Excel_jumia_dataset3[[#This Row],[Current Price]]&lt;Data_Analysis!$B$21,"Low Price",IF(Excel_jumia_dataset3[[#This Row],[Current Price]]&lt;Data_Analysis!$B$22,"Medium Price","High Price")))</f>
        <v>Medium Price</v>
      </c>
      <c r="E83" s="1">
        <f>Excel_jumia_dataset3[[#This Row],[Old Price]]-Excel_jumia_dataset3[[#This Row],[Current Price]]</f>
        <v>941</v>
      </c>
      <c r="F83" s="2">
        <v>0.49</v>
      </c>
      <c r="G83" t="str">
        <f>IF(F83&lt;20%,"Low Discount",IF(F83&lt;=40%,"Medium Discount", "High Discount"))</f>
        <v>High Discount</v>
      </c>
      <c r="H83" s="45">
        <v>1</v>
      </c>
      <c r="I83" s="44">
        <v>5</v>
      </c>
      <c r="J83" t="str">
        <f>IF(ISBLANK(I83),"",IF(I83&lt;3,"Poor",IF(I83&gt;=4.5,"Excellent","Average")))</f>
        <v>Excellent</v>
      </c>
    </row>
    <row r="84" spans="1:10" x14ac:dyDescent="0.45">
      <c r="A84" t="s">
        <v>178</v>
      </c>
      <c r="B84" s="1">
        <v>2799</v>
      </c>
      <c r="C84" s="1">
        <v>3810</v>
      </c>
      <c r="D84" t="str">
        <f>IF(Excel_jumia_dataset3[[#This Row],[Current Price]]="","Missing",IF(Excel_jumia_dataset3[[#This Row],[Current Price]]&lt;Data_Analysis!$B$21,"Low Price",IF(Excel_jumia_dataset3[[#This Row],[Current Price]]&lt;Data_Analysis!$B$22,"Medium Price","High Price")))</f>
        <v>High Price</v>
      </c>
      <c r="E84" s="1">
        <f>Excel_jumia_dataset3[[#This Row],[Old Price]]-Excel_jumia_dataset3[[#This Row],[Current Price]]</f>
        <v>1011</v>
      </c>
      <c r="F84" s="2">
        <v>0.27</v>
      </c>
      <c r="G84" t="str">
        <f>IF(F84&lt;20%,"Low Discount",IF(F84&lt;=40%,"Medium Discount", "High Discount"))</f>
        <v>Medium Discount</v>
      </c>
      <c r="I84" s="44" t="s">
        <v>78</v>
      </c>
      <c r="J84" t="s">
        <v>428</v>
      </c>
    </row>
    <row r="85" spans="1:10" x14ac:dyDescent="0.45">
      <c r="A85" t="s">
        <v>305</v>
      </c>
      <c r="B85" s="1">
        <v>198</v>
      </c>
      <c r="C85" s="1">
        <v>260</v>
      </c>
      <c r="D85" t="str">
        <f>IF(Excel_jumia_dataset3[[#This Row],[Current Price]]="","Missing",IF(Excel_jumia_dataset3[[#This Row],[Current Price]]&lt;Data_Analysis!$B$21,"Low Price",IF(Excel_jumia_dataset3[[#This Row],[Current Price]]&lt;Data_Analysis!$B$22,"Medium Price","High Price")))</f>
        <v>Low Price</v>
      </c>
      <c r="E85" s="1">
        <f>Excel_jumia_dataset3[[#This Row],[Old Price]]-Excel_jumia_dataset3[[#This Row],[Current Price]]</f>
        <v>62</v>
      </c>
      <c r="F85" s="2">
        <v>0.24</v>
      </c>
      <c r="G85" t="str">
        <f>IF(F85&lt;20%,"Low Discount",IF(F85&lt;=40%,"Medium Discount", "High Discount"))</f>
        <v>Medium Discount</v>
      </c>
      <c r="I85" s="44" t="s">
        <v>78</v>
      </c>
      <c r="J85" t="s">
        <v>428</v>
      </c>
    </row>
    <row r="86" spans="1:10" x14ac:dyDescent="0.45">
      <c r="A86" t="s">
        <v>164</v>
      </c>
      <c r="B86" s="1">
        <v>299</v>
      </c>
      <c r="C86" s="1">
        <v>384</v>
      </c>
      <c r="D86" t="str">
        <f>IF(Excel_jumia_dataset3[[#This Row],[Current Price]]="","Missing",IF(Excel_jumia_dataset3[[#This Row],[Current Price]]&lt;Data_Analysis!$B$21,"Low Price",IF(Excel_jumia_dataset3[[#This Row],[Current Price]]&lt;Data_Analysis!$B$22,"Medium Price","High Price")))</f>
        <v>Low Price</v>
      </c>
      <c r="E86" s="1">
        <f>Excel_jumia_dataset3[[#This Row],[Old Price]]-Excel_jumia_dataset3[[#This Row],[Current Price]]</f>
        <v>85</v>
      </c>
      <c r="F86" s="2">
        <v>0.22</v>
      </c>
      <c r="G86" t="str">
        <f>IF(F86&lt;20%,"Low Discount",IF(F86&lt;=40%,"Medium Discount", "High Discount"))</f>
        <v>Medium Discount</v>
      </c>
      <c r="I86" s="44" t="s">
        <v>78</v>
      </c>
      <c r="J86" t="s">
        <v>428</v>
      </c>
    </row>
    <row r="87" spans="1:10" x14ac:dyDescent="0.45">
      <c r="A87" t="s">
        <v>257</v>
      </c>
      <c r="B87" s="1">
        <v>1466</v>
      </c>
      <c r="C87" s="1">
        <v>1699</v>
      </c>
      <c r="D87" t="str">
        <f>IF(Excel_jumia_dataset3[[#This Row],[Current Price]]="","Missing",IF(Excel_jumia_dataset3[[#This Row],[Current Price]]&lt;Data_Analysis!$B$21,"Low Price",IF(Excel_jumia_dataset3[[#This Row],[Current Price]]&lt;Data_Analysis!$B$22,"Medium Price","High Price")))</f>
        <v>Medium Price</v>
      </c>
      <c r="E87" s="1">
        <f>Excel_jumia_dataset3[[#This Row],[Old Price]]-Excel_jumia_dataset3[[#This Row],[Current Price]]</f>
        <v>233</v>
      </c>
      <c r="F87" s="2">
        <v>0.14000000000000001</v>
      </c>
      <c r="G87" t="str">
        <f>IF(F87&lt;20%,"Low Discount",IF(F87&lt;=40%,"Medium Discount", "High Discount"))</f>
        <v>Low Discount</v>
      </c>
      <c r="I87" s="44" t="s">
        <v>78</v>
      </c>
      <c r="J87" t="s">
        <v>428</v>
      </c>
    </row>
    <row r="88" spans="1:10" x14ac:dyDescent="0.45">
      <c r="A88" t="s">
        <v>265</v>
      </c>
      <c r="B88" s="1">
        <v>1468</v>
      </c>
      <c r="C88" s="1">
        <v>1699</v>
      </c>
      <c r="D88" t="str">
        <f>IF(Excel_jumia_dataset3[[#This Row],[Current Price]]="","Missing",IF(Excel_jumia_dataset3[[#This Row],[Current Price]]&lt;Data_Analysis!$B$21,"Low Price",IF(Excel_jumia_dataset3[[#This Row],[Current Price]]&lt;Data_Analysis!$B$22,"Medium Price","High Price")))</f>
        <v>Medium Price</v>
      </c>
      <c r="E88" s="1">
        <f>Excel_jumia_dataset3[[#This Row],[Old Price]]-Excel_jumia_dataset3[[#This Row],[Current Price]]</f>
        <v>231</v>
      </c>
      <c r="F88" s="2">
        <v>0.14000000000000001</v>
      </c>
      <c r="G88" t="str">
        <f>IF(F88&lt;20%,"Low Discount",IF(F88&lt;=40%,"Medium Discount", "High Discount"))</f>
        <v>Low Discount</v>
      </c>
      <c r="I88" s="44" t="s">
        <v>78</v>
      </c>
      <c r="J88" t="s">
        <v>428</v>
      </c>
    </row>
    <row r="89" spans="1:10" x14ac:dyDescent="0.45">
      <c r="A89" t="s">
        <v>195</v>
      </c>
      <c r="B89" s="1">
        <v>445</v>
      </c>
      <c r="C89" s="1">
        <v>873</v>
      </c>
      <c r="D89" t="str">
        <f>IF(Excel_jumia_dataset3[[#This Row],[Current Price]]="","Missing",IF(Excel_jumia_dataset3[[#This Row],[Current Price]]&lt;Data_Analysis!$B$21,"Low Price",IF(Excel_jumia_dataset3[[#This Row],[Current Price]]&lt;Data_Analysis!$B$22,"Medium Price","High Price")))</f>
        <v>Low Price</v>
      </c>
      <c r="E89" s="1">
        <f>Excel_jumia_dataset3[[#This Row],[Old Price]]-Excel_jumia_dataset3[[#This Row],[Current Price]]</f>
        <v>428</v>
      </c>
      <c r="F89" s="2">
        <v>0.49</v>
      </c>
      <c r="G89" t="str">
        <f>IF(F89&lt;20%,"Low Discount",IF(F89&lt;=40%,"Medium Discount", "High Discount"))</f>
        <v>High Discount</v>
      </c>
      <c r="H89" s="45">
        <v>69</v>
      </c>
      <c r="I89" s="44">
        <v>2.8</v>
      </c>
      <c r="J89" t="str">
        <f>IF(ISBLANK(I89),"",IF(I89&lt;3,"Poor",IF(I89&gt;=4.5,"Excellent","Average")))</f>
        <v>Poor</v>
      </c>
    </row>
    <row r="90" spans="1:10" x14ac:dyDescent="0.45">
      <c r="A90" t="s">
        <v>254</v>
      </c>
      <c r="B90" s="1">
        <v>330</v>
      </c>
      <c r="C90" s="1">
        <v>647</v>
      </c>
      <c r="D90" t="str">
        <f>IF(Excel_jumia_dataset3[[#This Row],[Current Price]]="","Missing",IF(Excel_jumia_dataset3[[#This Row],[Current Price]]&lt;Data_Analysis!$B$21,"Low Price",IF(Excel_jumia_dataset3[[#This Row],[Current Price]]&lt;Data_Analysis!$B$22,"Medium Price","High Price")))</f>
        <v>Low Price</v>
      </c>
      <c r="E90" s="1">
        <f>Excel_jumia_dataset3[[#This Row],[Old Price]]-Excel_jumia_dataset3[[#This Row],[Current Price]]</f>
        <v>317</v>
      </c>
      <c r="F90" s="2">
        <v>0.49</v>
      </c>
      <c r="G90" t="str">
        <f>IF(F90&lt;20%,"Low Discount",IF(F90&lt;=40%,"Medium Discount", "High Discount"))</f>
        <v>High Discount</v>
      </c>
      <c r="H90" s="45">
        <v>1</v>
      </c>
      <c r="I90" s="44">
        <v>4</v>
      </c>
      <c r="J90" t="str">
        <f>IF(ISBLANK(I90),"",IF(I90&lt;3,"Poor",IF(I90&gt;=4.5,"Excellent","Average")))</f>
        <v>Average</v>
      </c>
    </row>
    <row r="91" spans="1:10" x14ac:dyDescent="0.45">
      <c r="A91" t="s">
        <v>262</v>
      </c>
      <c r="B91" s="1">
        <v>799</v>
      </c>
      <c r="C91" s="1">
        <v>900</v>
      </c>
      <c r="D91" t="str">
        <f>IF(Excel_jumia_dataset3[[#This Row],[Current Price]]="","Missing",IF(Excel_jumia_dataset3[[#This Row],[Current Price]]&lt;Data_Analysis!$B$21,"Low Price",IF(Excel_jumia_dataset3[[#This Row],[Current Price]]&lt;Data_Analysis!$B$22,"Medium Price","High Price")))</f>
        <v>Medium Price</v>
      </c>
      <c r="E91" s="1">
        <f>Excel_jumia_dataset3[[#This Row],[Old Price]]-Excel_jumia_dataset3[[#This Row],[Current Price]]</f>
        <v>101</v>
      </c>
      <c r="F91" s="2">
        <v>0.11</v>
      </c>
      <c r="G91" t="str">
        <f>IF(F91&lt;20%,"Low Discount",IF(F91&lt;=40%,"Medium Discount", "High Discount"))</f>
        <v>Low Discount</v>
      </c>
      <c r="I91" s="44" t="s">
        <v>78</v>
      </c>
      <c r="J91" t="s">
        <v>428</v>
      </c>
    </row>
    <row r="92" spans="1:10" x14ac:dyDescent="0.45">
      <c r="A92" t="s">
        <v>281</v>
      </c>
      <c r="B92" s="1">
        <v>1526</v>
      </c>
      <c r="C92" s="1">
        <v>1660</v>
      </c>
      <c r="D92" t="str">
        <f>IF(Excel_jumia_dataset3[[#This Row],[Current Price]]="","Missing",IF(Excel_jumia_dataset3[[#This Row],[Current Price]]&lt;Data_Analysis!$B$21,"Low Price",IF(Excel_jumia_dataset3[[#This Row],[Current Price]]&lt;Data_Analysis!$B$22,"Medium Price","High Price")))</f>
        <v>Medium Price</v>
      </c>
      <c r="E92" s="1">
        <f>Excel_jumia_dataset3[[#This Row],[Old Price]]-Excel_jumia_dataset3[[#This Row],[Current Price]]</f>
        <v>134</v>
      </c>
      <c r="F92" s="2">
        <v>0.08</v>
      </c>
      <c r="G92" t="str">
        <f>IF(F92&lt;20%,"Low Discount",IF(F92&lt;=40%,"Medium Discount", "High Discount"))</f>
        <v>Low Discount</v>
      </c>
      <c r="I92" s="44" t="s">
        <v>78</v>
      </c>
      <c r="J92" t="s">
        <v>428</v>
      </c>
    </row>
    <row r="93" spans="1:10" x14ac:dyDescent="0.45">
      <c r="A93" t="s">
        <v>288</v>
      </c>
      <c r="B93" s="1">
        <v>3546</v>
      </c>
      <c r="C93" s="1">
        <v>3699</v>
      </c>
      <c r="D93" t="str">
        <f>IF(Excel_jumia_dataset3[[#This Row],[Current Price]]="","Missing",IF(Excel_jumia_dataset3[[#This Row],[Current Price]]&lt;Data_Analysis!$B$21,"Low Price",IF(Excel_jumia_dataset3[[#This Row],[Current Price]]&lt;Data_Analysis!$B$22,"Medium Price","High Price")))</f>
        <v>High Price</v>
      </c>
      <c r="E93" s="1">
        <f>Excel_jumia_dataset3[[#This Row],[Old Price]]-Excel_jumia_dataset3[[#This Row],[Current Price]]</f>
        <v>153</v>
      </c>
      <c r="F93" s="2">
        <v>0.04</v>
      </c>
      <c r="G93" t="str">
        <f>IF(F93&lt;20%,"Low Discount",IF(F93&lt;=40%,"Medium Discount", "High Discount"))</f>
        <v>Low Discount</v>
      </c>
      <c r="I93" s="44" t="s">
        <v>78</v>
      </c>
      <c r="J93" t="s">
        <v>428</v>
      </c>
    </row>
    <row r="94" spans="1:10" x14ac:dyDescent="0.45">
      <c r="A94" t="s">
        <v>238</v>
      </c>
      <c r="B94" s="1">
        <v>1732</v>
      </c>
      <c r="C94" s="1">
        <v>1799</v>
      </c>
      <c r="D94" t="str">
        <f>IF(Excel_jumia_dataset3[[#This Row],[Current Price]]="","Missing",IF(Excel_jumia_dataset3[[#This Row],[Current Price]]&lt;Data_Analysis!$B$21,"Low Price",IF(Excel_jumia_dataset3[[#This Row],[Current Price]]&lt;Data_Analysis!$B$22,"Medium Price","High Price")))</f>
        <v>High Price</v>
      </c>
      <c r="E94" s="1">
        <f>Excel_jumia_dataset3[[#This Row],[Old Price]]-Excel_jumia_dataset3[[#This Row],[Current Price]]</f>
        <v>67</v>
      </c>
      <c r="F94" s="2">
        <v>0.04</v>
      </c>
      <c r="G94" t="str">
        <f>IF(F94&lt;20%,"Low Discount",IF(F94&lt;=40%,"Medium Discount", "High Discount"))</f>
        <v>Low Discount</v>
      </c>
      <c r="I94" s="44" t="s">
        <v>78</v>
      </c>
      <c r="J94" t="s">
        <v>428</v>
      </c>
    </row>
    <row r="95" spans="1:10" x14ac:dyDescent="0.45">
      <c r="A95" t="s">
        <v>166</v>
      </c>
      <c r="B95" s="1">
        <v>1459</v>
      </c>
      <c r="C95" s="1">
        <v>1499</v>
      </c>
      <c r="D95" t="str">
        <f>IF(Excel_jumia_dataset3[[#This Row],[Current Price]]="","Missing",IF(Excel_jumia_dataset3[[#This Row],[Current Price]]&lt;Data_Analysis!$B$21,"Low Price",IF(Excel_jumia_dataset3[[#This Row],[Current Price]]&lt;Data_Analysis!$B$22,"Medium Price","High Price")))</f>
        <v>Medium Price</v>
      </c>
      <c r="E95" s="1">
        <f>Excel_jumia_dataset3[[#This Row],[Old Price]]-Excel_jumia_dataset3[[#This Row],[Current Price]]</f>
        <v>40</v>
      </c>
      <c r="F95" s="2">
        <v>0.03</v>
      </c>
      <c r="G95" t="str">
        <f>IF(F95&lt;20%,"Low Discount",IF(F95&lt;=40%,"Medium Discount", "High Discount"))</f>
        <v>Low Discount</v>
      </c>
      <c r="I95" s="44" t="s">
        <v>78</v>
      </c>
      <c r="J95" t="s">
        <v>428</v>
      </c>
    </row>
    <row r="96" spans="1:10" x14ac:dyDescent="0.45">
      <c r="A96" t="s">
        <v>313</v>
      </c>
      <c r="B96" s="1">
        <v>1658</v>
      </c>
      <c r="C96" s="1">
        <v>1699</v>
      </c>
      <c r="D96" t="str">
        <f>IF(Excel_jumia_dataset3[[#This Row],[Current Price]]="","Missing",IF(Excel_jumia_dataset3[[#This Row],[Current Price]]&lt;Data_Analysis!$B$21,"Low Price",IF(Excel_jumia_dataset3[[#This Row],[Current Price]]&lt;Data_Analysis!$B$22,"Medium Price","High Price")))</f>
        <v>Medium Price</v>
      </c>
      <c r="E96" s="1">
        <f>Excel_jumia_dataset3[[#This Row],[Old Price]]-Excel_jumia_dataset3[[#This Row],[Current Price]]</f>
        <v>41</v>
      </c>
      <c r="F96" s="2">
        <v>0.02</v>
      </c>
      <c r="G96" t="str">
        <f>IF(F96&lt;20%,"Low Discount",IF(F96&lt;=40%,"Medium Discount", "High Discount"))</f>
        <v>Low Discount</v>
      </c>
      <c r="I96" s="44" t="s">
        <v>78</v>
      </c>
      <c r="J96" t="s">
        <v>428</v>
      </c>
    </row>
    <row r="97" spans="1:10" x14ac:dyDescent="0.45">
      <c r="A97" t="s">
        <v>210</v>
      </c>
      <c r="B97" s="1">
        <v>1000</v>
      </c>
      <c r="C97" s="1">
        <v>2000</v>
      </c>
      <c r="D97" t="str">
        <f>IF(Excel_jumia_dataset3[[#This Row],[Current Price]]="","Missing",IF(Excel_jumia_dataset3[[#This Row],[Current Price]]&lt;Data_Analysis!$B$21,"Low Price",IF(Excel_jumia_dataset3[[#This Row],[Current Price]]&lt;Data_Analysis!$B$22,"Medium Price","High Price")))</f>
        <v>Medium Price</v>
      </c>
      <c r="E97" s="1">
        <f>Excel_jumia_dataset3[[#This Row],[Old Price]]-Excel_jumia_dataset3[[#This Row],[Current Price]]</f>
        <v>1000</v>
      </c>
      <c r="F97" s="2">
        <v>0.5</v>
      </c>
      <c r="G97" t="str">
        <f>IF(F97&lt;20%,"Low Discount",IF(F97&lt;=40%,"Medium Discount", "High Discount"))</f>
        <v>High Discount</v>
      </c>
      <c r="H97" s="45">
        <v>7</v>
      </c>
      <c r="I97" s="44">
        <v>2.2999999999999998</v>
      </c>
      <c r="J97" t="str">
        <f>IF(ISBLANK(I97),"",IF(I97&lt;3,"Poor",IF(I97&gt;=4.5,"Excellent","Average")))</f>
        <v>Poor</v>
      </c>
    </row>
    <row r="98" spans="1:10" x14ac:dyDescent="0.45">
      <c r="A98" t="s">
        <v>161</v>
      </c>
      <c r="B98" s="1">
        <v>1660</v>
      </c>
      <c r="C98" s="1">
        <v>1699</v>
      </c>
      <c r="D98" t="str">
        <f>IF(Excel_jumia_dataset3[[#This Row],[Current Price]]="","Missing",IF(Excel_jumia_dataset3[[#This Row],[Current Price]]&lt;Data_Analysis!$B$21,"Low Price",IF(Excel_jumia_dataset3[[#This Row],[Current Price]]&lt;Data_Analysis!$B$22,"Medium Price","High Price")))</f>
        <v>Medium Price</v>
      </c>
      <c r="E98" s="1">
        <f>Excel_jumia_dataset3[[#This Row],[Old Price]]-Excel_jumia_dataset3[[#This Row],[Current Price]]</f>
        <v>39</v>
      </c>
      <c r="F98" s="2">
        <v>0.02</v>
      </c>
      <c r="G98" t="str">
        <f>IF(F98&lt;20%,"Low Discount",IF(F98&lt;=40%,"Medium Discount", "High Discount"))</f>
        <v>Low Discount</v>
      </c>
      <c r="I98" s="44" t="s">
        <v>78</v>
      </c>
      <c r="J98" t="s">
        <v>428</v>
      </c>
    </row>
    <row r="99" spans="1:10" x14ac:dyDescent="0.45">
      <c r="A99" t="s">
        <v>319</v>
      </c>
      <c r="B99" s="1">
        <v>450</v>
      </c>
      <c r="C99" s="1">
        <v>900</v>
      </c>
      <c r="D99" t="str">
        <f>IF(Excel_jumia_dataset3[[#This Row],[Current Price]]="","Missing",IF(Excel_jumia_dataset3[[#This Row],[Current Price]]&lt;Data_Analysis!$B$21,"Low Price",IF(Excel_jumia_dataset3[[#This Row],[Current Price]]&lt;Data_Analysis!$B$22,"Medium Price","High Price")))</f>
        <v>Low Price</v>
      </c>
      <c r="E99" s="1">
        <f>Excel_jumia_dataset3[[#This Row],[Old Price]]-Excel_jumia_dataset3[[#This Row],[Current Price]]</f>
        <v>450</v>
      </c>
      <c r="F99" s="2">
        <v>0.5</v>
      </c>
      <c r="G99" t="str">
        <f>IF(F99&lt;20%,"Low Discount",IF(F99&lt;=40%,"Medium Discount", "High Discount"))</f>
        <v>High Discount</v>
      </c>
      <c r="H99" s="45">
        <v>1</v>
      </c>
      <c r="I99" s="44">
        <v>2</v>
      </c>
      <c r="J99" t="str">
        <f>IF(ISBLANK(I99),"",IF(I99&lt;3,"Poor",IF(I99&gt;=4.5,"Excellent","Average")))</f>
        <v>Poor</v>
      </c>
    </row>
    <row r="100" spans="1:10" x14ac:dyDescent="0.45">
      <c r="A100" t="s">
        <v>141</v>
      </c>
      <c r="B100" s="1">
        <v>2132</v>
      </c>
      <c r="C100" s="1">
        <v>2169</v>
      </c>
      <c r="D100" t="str">
        <f>IF(Excel_jumia_dataset3[[#This Row],[Current Price]]="","Missing",IF(Excel_jumia_dataset3[[#This Row],[Current Price]]&lt;Data_Analysis!$B$21,"Low Price",IF(Excel_jumia_dataset3[[#This Row],[Current Price]]&lt;Data_Analysis!$B$22,"Medium Price","High Price")))</f>
        <v>High Price</v>
      </c>
      <c r="E100" s="1">
        <f>Excel_jumia_dataset3[[#This Row],[Old Price]]-Excel_jumia_dataset3[[#This Row],[Current Price]]</f>
        <v>37</v>
      </c>
      <c r="F100" s="2">
        <v>0.02</v>
      </c>
      <c r="G100" t="str">
        <f>IF(F100&lt;20%,"Low Discount",IF(F100&lt;=40%,"Medium Discount", "High Discount"))</f>
        <v>Low Discount</v>
      </c>
      <c r="I100" s="44" t="s">
        <v>78</v>
      </c>
      <c r="J100" t="s">
        <v>428</v>
      </c>
    </row>
    <row r="101" spans="1:10" x14ac:dyDescent="0.45">
      <c r="A101" t="s">
        <v>283</v>
      </c>
      <c r="B101" s="1">
        <v>1462</v>
      </c>
      <c r="C101" s="1">
        <v>1499</v>
      </c>
      <c r="D101" t="str">
        <f>IF(Excel_jumia_dataset3[[#This Row],[Current Price]]="","Missing",IF(Excel_jumia_dataset3[[#This Row],[Current Price]]&lt;Data_Analysis!$B$21,"Low Price",IF(Excel_jumia_dataset3[[#This Row],[Current Price]]&lt;Data_Analysis!$B$22,"Medium Price","High Price")))</f>
        <v>Medium Price</v>
      </c>
      <c r="E101" s="1">
        <f>Excel_jumia_dataset3[[#This Row],[Old Price]]-Excel_jumia_dataset3[[#This Row],[Current Price]]</f>
        <v>37</v>
      </c>
      <c r="F101" s="2">
        <v>0.02</v>
      </c>
      <c r="G101" t="str">
        <f>IF(F101&lt;20%,"Low Discount",IF(F101&lt;=40%,"Medium Discount", "High Discount"))</f>
        <v>Low Discount</v>
      </c>
      <c r="I101" s="44" t="s">
        <v>78</v>
      </c>
      <c r="J101" t="s">
        <v>428</v>
      </c>
    </row>
    <row r="102" spans="1:10" x14ac:dyDescent="0.45">
      <c r="A102" t="s">
        <v>56</v>
      </c>
      <c r="B102" s="1">
        <v>332</v>
      </c>
      <c r="C102" s="1">
        <v>684</v>
      </c>
      <c r="D102" t="str">
        <f>IF(Excel_jumia_dataset3[[#This Row],[Current Price]]="","Missing",IF(Excel_jumia_dataset3[[#This Row],[Current Price]]&lt;Data_Analysis!$B$21,"Low Price",IF(Excel_jumia_dataset3[[#This Row],[Current Price]]&lt;Data_Analysis!$B$22,"Medium Price","High Price")))</f>
        <v>Low Price</v>
      </c>
      <c r="E102" s="1">
        <f>Excel_jumia_dataset3[[#This Row],[Old Price]]-Excel_jumia_dataset3[[#This Row],[Current Price]]</f>
        <v>352</v>
      </c>
      <c r="F102" s="2">
        <v>0.51</v>
      </c>
      <c r="G102" t="str">
        <f>IF(F102&lt;20%,"Low Discount",IF(F102&lt;=40%,"Medium Discount", "High Discount"))</f>
        <v>High Discount</v>
      </c>
      <c r="H102" s="45">
        <v>2</v>
      </c>
      <c r="I102" s="44">
        <v>5</v>
      </c>
      <c r="J102" t="str">
        <f>IF(ISBLANK(I102),"",IF(I102&lt;3,"Poor",IF(I102&gt;=4.5,"Excellent","Average")))</f>
        <v>Excellent</v>
      </c>
    </row>
    <row r="103" spans="1:10" x14ac:dyDescent="0.45">
      <c r="A103" t="s">
        <v>199</v>
      </c>
      <c r="B103" s="1">
        <v>325</v>
      </c>
      <c r="C103" s="1">
        <v>680</v>
      </c>
      <c r="D103" t="str">
        <f>IF(Excel_jumia_dataset3[[#This Row],[Current Price]]="","Missing",IF(Excel_jumia_dataset3[[#This Row],[Current Price]]&lt;Data_Analysis!$B$21,"Low Price",IF(Excel_jumia_dataset3[[#This Row],[Current Price]]&lt;Data_Analysis!$B$22,"Medium Price","High Price")))</f>
        <v>Low Price</v>
      </c>
      <c r="E103" s="1">
        <f>Excel_jumia_dataset3[[#This Row],[Old Price]]-Excel_jumia_dataset3[[#This Row],[Current Price]]</f>
        <v>355</v>
      </c>
      <c r="F103" s="2">
        <v>0.52</v>
      </c>
      <c r="G103" t="str">
        <f>IF(F103&lt;20%,"Low Discount",IF(F103&lt;=40%,"Medium Discount", "High Discount"))</f>
        <v>High Discount</v>
      </c>
      <c r="H103" s="45">
        <v>15</v>
      </c>
      <c r="I103" s="44">
        <v>2.7</v>
      </c>
      <c r="J103" t="str">
        <f>IF(ISBLANK(I103),"",IF(I103&lt;3,"Poor",IF(I103&gt;=4.5,"Excellent","Average")))</f>
        <v>Poor</v>
      </c>
    </row>
    <row r="104" spans="1:10" x14ac:dyDescent="0.45">
      <c r="A104" t="s">
        <v>103</v>
      </c>
      <c r="B104" s="1">
        <v>185</v>
      </c>
      <c r="C104" s="1">
        <v>382</v>
      </c>
      <c r="D104" t="str">
        <f>IF(Excel_jumia_dataset3[[#This Row],[Current Price]]="","Missing",IF(Excel_jumia_dataset3[[#This Row],[Current Price]]&lt;Data_Analysis!$B$21,"Low Price",IF(Excel_jumia_dataset3[[#This Row],[Current Price]]&lt;Data_Analysis!$B$22,"Medium Price","High Price")))</f>
        <v>Low Price</v>
      </c>
      <c r="E104" s="1">
        <f>Excel_jumia_dataset3[[#This Row],[Old Price]]-Excel_jumia_dataset3[[#This Row],[Current Price]]</f>
        <v>197</v>
      </c>
      <c r="F104" s="2">
        <v>0.52</v>
      </c>
      <c r="G104" t="str">
        <f>IF(F104&lt;20%,"Low Discount",IF(F104&lt;=40%,"Medium Discount", "High Discount"))</f>
        <v>High Discount</v>
      </c>
      <c r="H104" s="45">
        <v>9</v>
      </c>
      <c r="I104" s="44">
        <v>4.3</v>
      </c>
      <c r="J104" t="str">
        <f>IF(ISBLANK(I104),"",IF(I104&lt;3,"Poor",IF(I104&gt;=4.5,"Excellent","Average")))</f>
        <v>Average</v>
      </c>
    </row>
    <row r="105" spans="1:10" x14ac:dyDescent="0.45">
      <c r="A105" t="s">
        <v>121</v>
      </c>
      <c r="B105" s="1">
        <v>171</v>
      </c>
      <c r="C105" s="1">
        <v>360</v>
      </c>
      <c r="D105" t="str">
        <f>IF(Excel_jumia_dataset3[[#This Row],[Current Price]]="","Missing",IF(Excel_jumia_dataset3[[#This Row],[Current Price]]&lt;Data_Analysis!$B$21,"Low Price",IF(Excel_jumia_dataset3[[#This Row],[Current Price]]&lt;Data_Analysis!$B$22,"Medium Price","High Price")))</f>
        <v>Low Price</v>
      </c>
      <c r="E105" s="1">
        <f>Excel_jumia_dataset3[[#This Row],[Old Price]]-Excel_jumia_dataset3[[#This Row],[Current Price]]</f>
        <v>189</v>
      </c>
      <c r="F105" s="2">
        <v>0.53</v>
      </c>
      <c r="G105" t="str">
        <f>IF(F105&lt;20%,"Low Discount",IF(F105&lt;=40%,"Medium Discount", "High Discount"))</f>
        <v>High Discount</v>
      </c>
      <c r="H105" s="45">
        <v>2</v>
      </c>
      <c r="I105" s="44">
        <v>5</v>
      </c>
      <c r="J105" t="str">
        <f>IF(ISBLANK(I105),"",IF(I105&lt;3,"Poor",IF(I105&gt;=4.5,"Excellent","Average")))</f>
        <v>Excellent</v>
      </c>
    </row>
    <row r="106" spans="1:10" x14ac:dyDescent="0.45">
      <c r="A106" t="s">
        <v>71</v>
      </c>
      <c r="B106" s="1">
        <v>38</v>
      </c>
      <c r="C106" s="1">
        <v>80</v>
      </c>
      <c r="D106" t="str">
        <f>IF(Excel_jumia_dataset3[[#This Row],[Current Price]]="","Missing",IF(Excel_jumia_dataset3[[#This Row],[Current Price]]&lt;Data_Analysis!$B$21,"Low Price",IF(Excel_jumia_dataset3[[#This Row],[Current Price]]&lt;Data_Analysis!$B$22,"Medium Price","High Price")))</f>
        <v>Low Price</v>
      </c>
      <c r="E106" s="1">
        <f>Excel_jumia_dataset3[[#This Row],[Old Price]]-Excel_jumia_dataset3[[#This Row],[Current Price]]</f>
        <v>42</v>
      </c>
      <c r="F106" s="2">
        <v>0.53</v>
      </c>
      <c r="G106" t="str">
        <f>IF(F106&lt;20%,"Low Discount",IF(F106&lt;=40%,"Medium Discount", "High Discount"))</f>
        <v>High Discount</v>
      </c>
      <c r="H106" s="45">
        <v>13</v>
      </c>
      <c r="I106" s="44">
        <v>3.3</v>
      </c>
      <c r="J106" t="str">
        <f>IF(ISBLANK(I106),"",IF(I106&lt;3,"Poor",IF(I106&gt;=4.5,"Excellent","Average")))</f>
        <v>Average</v>
      </c>
    </row>
    <row r="107" spans="1:10" x14ac:dyDescent="0.45">
      <c r="A107" t="s">
        <v>86</v>
      </c>
      <c r="B107" s="1">
        <v>2048</v>
      </c>
      <c r="C107" s="1">
        <v>4500</v>
      </c>
      <c r="D107" t="str">
        <f>IF(Excel_jumia_dataset3[[#This Row],[Current Price]]="","Missing",IF(Excel_jumia_dataset3[[#This Row],[Current Price]]&lt;Data_Analysis!$B$21,"Low Price",IF(Excel_jumia_dataset3[[#This Row],[Current Price]]&lt;Data_Analysis!$B$22,"Medium Price","High Price")))</f>
        <v>High Price</v>
      </c>
      <c r="E107" s="1">
        <f>Excel_jumia_dataset3[[#This Row],[Old Price]]-Excel_jumia_dataset3[[#This Row],[Current Price]]</f>
        <v>2452</v>
      </c>
      <c r="F107" s="2">
        <v>0.54</v>
      </c>
      <c r="G107" t="str">
        <f>IF(F107&lt;20%,"Low Discount",IF(F107&lt;=40%,"Medium Discount", "High Discount"))</f>
        <v>High Discount</v>
      </c>
      <c r="H107" s="45">
        <v>7</v>
      </c>
      <c r="I107" s="44">
        <v>4.3</v>
      </c>
      <c r="J107" t="str">
        <f>IF(ISBLANK(I107),"",IF(I107&lt;3,"Poor",IF(I107&gt;=4.5,"Excellent","Average")))</f>
        <v>Average</v>
      </c>
    </row>
    <row r="108" spans="1:10" x14ac:dyDescent="0.45">
      <c r="A108" t="s">
        <v>187</v>
      </c>
      <c r="B108" s="1">
        <v>458</v>
      </c>
      <c r="C108" s="1">
        <v>986</v>
      </c>
      <c r="D108" t="str">
        <f>IF(Excel_jumia_dataset3[[#This Row],[Current Price]]="","Missing",IF(Excel_jumia_dataset3[[#This Row],[Current Price]]&lt;Data_Analysis!$B$21,"Low Price",IF(Excel_jumia_dataset3[[#This Row],[Current Price]]&lt;Data_Analysis!$B$22,"Medium Price","High Price")))</f>
        <v>Low Price</v>
      </c>
      <c r="E108" s="1">
        <f>Excel_jumia_dataset3[[#This Row],[Old Price]]-Excel_jumia_dataset3[[#This Row],[Current Price]]</f>
        <v>528</v>
      </c>
      <c r="F108" s="2">
        <v>0.54</v>
      </c>
      <c r="G108" t="str">
        <f>IF(F108&lt;20%,"Low Discount",IF(F108&lt;=40%,"Medium Discount", "High Discount"))</f>
        <v>High Discount</v>
      </c>
      <c r="H108" s="45">
        <v>10</v>
      </c>
      <c r="I108" s="44">
        <v>3</v>
      </c>
      <c r="J108" t="str">
        <f>IF(ISBLANK(I108),"",IF(I108&lt;3,"Poor",IF(I108&gt;=4.5,"Excellent","Average")))</f>
        <v>Average</v>
      </c>
    </row>
    <row r="109" spans="1:10" x14ac:dyDescent="0.45">
      <c r="A109" t="s">
        <v>191</v>
      </c>
      <c r="B109" s="1">
        <v>2115</v>
      </c>
      <c r="C109" s="1">
        <v>4700</v>
      </c>
      <c r="D109" t="str">
        <f>IF(Excel_jumia_dataset3[[#This Row],[Current Price]]="","Missing",IF(Excel_jumia_dataset3[[#This Row],[Current Price]]&lt;Data_Analysis!$B$21,"Low Price",IF(Excel_jumia_dataset3[[#This Row],[Current Price]]&lt;Data_Analysis!$B$22,"Medium Price","High Price")))</f>
        <v>High Price</v>
      </c>
      <c r="E109" s="1">
        <f>Excel_jumia_dataset3[[#This Row],[Old Price]]-Excel_jumia_dataset3[[#This Row],[Current Price]]</f>
        <v>2585</v>
      </c>
      <c r="F109" s="2">
        <v>0.55000000000000004</v>
      </c>
      <c r="G109" t="str">
        <f>IF(F109&lt;20%,"Low Discount",IF(F109&lt;=40%,"Medium Discount", "High Discount"))</f>
        <v>High Discount</v>
      </c>
      <c r="H109" s="45">
        <v>13</v>
      </c>
      <c r="I109" s="44">
        <v>2.1</v>
      </c>
      <c r="J109" t="str">
        <f>IF(ISBLANK(I109),"",IF(I109&lt;3,"Poor",IF(I109&gt;=4.5,"Excellent","Average")))</f>
        <v>Poor</v>
      </c>
    </row>
    <row r="110" spans="1:10" x14ac:dyDescent="0.45">
      <c r="A110" t="s">
        <v>35</v>
      </c>
      <c r="B110" s="1">
        <v>1274</v>
      </c>
      <c r="C110" s="1">
        <v>2800</v>
      </c>
      <c r="D110" t="str">
        <f>IF(Excel_jumia_dataset3[[#This Row],[Current Price]]="","Missing",IF(Excel_jumia_dataset3[[#This Row],[Current Price]]&lt;Data_Analysis!$B$21,"Low Price",IF(Excel_jumia_dataset3[[#This Row],[Current Price]]&lt;Data_Analysis!$B$22,"Medium Price","High Price")))</f>
        <v>Medium Price</v>
      </c>
      <c r="E110" s="1">
        <f>Excel_jumia_dataset3[[#This Row],[Old Price]]-Excel_jumia_dataset3[[#This Row],[Current Price]]</f>
        <v>1526</v>
      </c>
      <c r="F110" s="2">
        <v>0.55000000000000004</v>
      </c>
      <c r="G110" t="str">
        <f>IF(F110&lt;20%,"Low Discount",IF(F110&lt;=40%,"Medium Discount", "High Discount"))</f>
        <v>High Discount</v>
      </c>
      <c r="H110" s="45">
        <v>5</v>
      </c>
      <c r="I110" s="44">
        <v>4.8</v>
      </c>
      <c r="J110" t="str">
        <f>IF(ISBLANK(I110),"",IF(I110&lt;3,"Poor",IF(I110&gt;=4.5,"Excellent","Average")))</f>
        <v>Excellent</v>
      </c>
    </row>
    <row r="111" spans="1:10" x14ac:dyDescent="0.45">
      <c r="A111" t="s">
        <v>252</v>
      </c>
      <c r="B111" s="1">
        <v>1666</v>
      </c>
      <c r="C111" s="1">
        <v>1699</v>
      </c>
      <c r="D111" t="str">
        <f>IF(Excel_jumia_dataset3[[#This Row],[Current Price]]="","Missing",IF(Excel_jumia_dataset3[[#This Row],[Current Price]]&lt;Data_Analysis!$B$21,"Low Price",IF(Excel_jumia_dataset3[[#This Row],[Current Price]]&lt;Data_Analysis!$B$22,"Medium Price","High Price")))</f>
        <v>Medium Price</v>
      </c>
      <c r="E111" s="1">
        <f>Excel_jumia_dataset3[[#This Row],[Old Price]]-Excel_jumia_dataset3[[#This Row],[Current Price]]</f>
        <v>33</v>
      </c>
      <c r="F111" s="2">
        <v>0.02</v>
      </c>
      <c r="G111" t="str">
        <f>IF(F111&lt;20%,"Low Discount",IF(F111&lt;=40%,"Medium Discount", "High Discount"))</f>
        <v>Low Discount</v>
      </c>
      <c r="I111" s="44" t="s">
        <v>78</v>
      </c>
      <c r="J111" t="s">
        <v>428</v>
      </c>
    </row>
    <row r="112" spans="1:10" x14ac:dyDescent="0.45">
      <c r="A112" t="s">
        <v>315</v>
      </c>
      <c r="B112" s="1">
        <v>1768</v>
      </c>
      <c r="C112" s="1">
        <v>1799</v>
      </c>
      <c r="D112" t="str">
        <f>IF(Excel_jumia_dataset3[[#This Row],[Current Price]]="","Missing",IF(Excel_jumia_dataset3[[#This Row],[Current Price]]&lt;Data_Analysis!$B$21,"Low Price",IF(Excel_jumia_dataset3[[#This Row],[Current Price]]&lt;Data_Analysis!$B$22,"Medium Price","High Price")))</f>
        <v>High Price</v>
      </c>
      <c r="E112" s="1">
        <f>Excel_jumia_dataset3[[#This Row],[Old Price]]-Excel_jumia_dataset3[[#This Row],[Current Price]]</f>
        <v>31</v>
      </c>
      <c r="F112" s="2">
        <v>0.02</v>
      </c>
      <c r="G112" t="str">
        <f>IF(F112&lt;20%,"Low Discount",IF(F112&lt;=40%,"Medium Discount", "High Discount"))</f>
        <v>Low Discount</v>
      </c>
      <c r="I112" s="44" t="s">
        <v>78</v>
      </c>
      <c r="J112" t="s">
        <v>428</v>
      </c>
    </row>
    <row r="113" spans="1:10" x14ac:dyDescent="0.45">
      <c r="A113" t="s">
        <v>302</v>
      </c>
      <c r="B113" s="1">
        <v>1875</v>
      </c>
      <c r="C113" s="1">
        <v>1899</v>
      </c>
      <c r="D113" t="str">
        <f>IF(Excel_jumia_dataset3[[#This Row],[Current Price]]="","Missing",IF(Excel_jumia_dataset3[[#This Row],[Current Price]]&lt;Data_Analysis!$B$21,"Low Price",IF(Excel_jumia_dataset3[[#This Row],[Current Price]]&lt;Data_Analysis!$B$22,"Medium Price","High Price")))</f>
        <v>High Price</v>
      </c>
      <c r="E113" s="1">
        <f>Excel_jumia_dataset3[[#This Row],[Old Price]]-Excel_jumia_dataset3[[#This Row],[Current Price]]</f>
        <v>24</v>
      </c>
      <c r="F113" s="2">
        <v>0.01</v>
      </c>
      <c r="G113" t="str">
        <f>IF(F113&lt;20%,"Low Discount",IF(F113&lt;=40%,"Medium Discount", "High Discount"))</f>
        <v>Low Discount</v>
      </c>
      <c r="I113" s="44" t="s">
        <v>78</v>
      </c>
      <c r="J113" t="s">
        <v>428</v>
      </c>
    </row>
    <row r="115" spans="1:10" x14ac:dyDescent="0.45">
      <c r="A115" s="4" t="s">
        <v>354</v>
      </c>
      <c r="B115" s="5">
        <f>MAX(B2:B113)</f>
        <v>3750</v>
      </c>
      <c r="C115" s="5">
        <f>MAX(C2:C113)</f>
        <v>6143</v>
      </c>
      <c r="E115" s="5">
        <f>MAX(E2:E113)</f>
        <v>2585</v>
      </c>
    </row>
    <row r="116" spans="1:10" x14ac:dyDescent="0.45">
      <c r="A116" s="4" t="s">
        <v>355</v>
      </c>
      <c r="B116" s="5">
        <f>MIN(B2:B113)</f>
        <v>38</v>
      </c>
      <c r="C116" s="5">
        <f>MIN(C2:C113)</f>
        <v>80</v>
      </c>
      <c r="E116" s="5">
        <f>MIN(E2:E113)</f>
        <v>24</v>
      </c>
    </row>
    <row r="117" spans="1:10" x14ac:dyDescent="0.45">
      <c r="A117" s="4" t="s">
        <v>356</v>
      </c>
      <c r="B117" s="5">
        <f>AVERAGE(B2:B113)</f>
        <v>1186.8928571428571</v>
      </c>
      <c r="C117" s="5">
        <f>AVERAGE(C2:C113)</f>
        <v>1811.1071428571429</v>
      </c>
      <c r="E117" s="5">
        <f>AVERAGE(E2:E113)</f>
        <v>624.21428571428567</v>
      </c>
    </row>
    <row r="118" spans="1:10" x14ac:dyDescent="0.45">
      <c r="A118" s="4" t="s">
        <v>357</v>
      </c>
      <c r="B118" s="5">
        <f>MEDIAN(B2:B113)</f>
        <v>998.5</v>
      </c>
      <c r="C118" s="5">
        <f>MEDIAN(C2:C113)</f>
        <v>1699</v>
      </c>
      <c r="D118" s="5"/>
      <c r="E118" s="5">
        <f>MEDIAN(E2:E113)</f>
        <v>510</v>
      </c>
    </row>
  </sheetData>
  <pageMargins left="0.7" right="0.7" top="0.75" bottom="0.75" header="0.3" footer="0.3"/>
  <pageSetup orientation="portrait" r:id="rId1"/>
  <ignoredErrors>
    <ignoredError sqref="J2 J3:J12 J14 J26 J16:J25 J27:J113"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0BC5-CE8E-41F1-8A52-D2D300069164}">
  <dimension ref="A1:K79"/>
  <sheetViews>
    <sheetView workbookViewId="0">
      <selection activeCell="B10" sqref="B10"/>
    </sheetView>
  </sheetViews>
  <sheetFormatPr defaultRowHeight="14.25" x14ac:dyDescent="0.45"/>
  <cols>
    <col min="1" max="1" width="61.9296875" style="10" bestFit="1" customWidth="1"/>
    <col min="2" max="2" width="62.6640625" style="10" bestFit="1" customWidth="1"/>
    <col min="3" max="3" width="15.33203125" style="10" bestFit="1" customWidth="1"/>
    <col min="4" max="4" width="14.33203125" style="10" bestFit="1" customWidth="1"/>
    <col min="5" max="5" width="9.06640625" style="10"/>
    <col min="6" max="6" width="15.1328125" style="10" bestFit="1" customWidth="1"/>
    <col min="7" max="7" width="13.265625" style="10" bestFit="1" customWidth="1"/>
    <col min="8" max="16384" width="9.06640625" style="10"/>
  </cols>
  <sheetData>
    <row r="1" spans="1:3" x14ac:dyDescent="0.45">
      <c r="A1" s="9" t="s">
        <v>388</v>
      </c>
    </row>
    <row r="2" spans="1:3" x14ac:dyDescent="0.45">
      <c r="A2" s="11" t="s">
        <v>368</v>
      </c>
      <c r="B2" s="12" t="s">
        <v>369</v>
      </c>
      <c r="C2" s="13"/>
    </row>
    <row r="3" spans="1:3" x14ac:dyDescent="0.45">
      <c r="A3" s="14" t="s">
        <v>414</v>
      </c>
      <c r="B3" s="15">
        <f>COUNTA(Excel_jumia_dataset3[Product])</f>
        <v>112</v>
      </c>
      <c r="C3" s="13"/>
    </row>
    <row r="4" spans="1:3" x14ac:dyDescent="0.45">
      <c r="A4" s="16" t="s">
        <v>358</v>
      </c>
      <c r="B4" s="17">
        <f>AVERAGE(Excel_jumia_dataset3[Current Price])</f>
        <v>1186.8928571428571</v>
      </c>
      <c r="C4" s="18"/>
    </row>
    <row r="5" spans="1:3" x14ac:dyDescent="0.45">
      <c r="A5" s="16" t="s">
        <v>359</v>
      </c>
      <c r="B5" s="17">
        <f>AVERAGE(Excel_jumia_dataset3[Old Price])</f>
        <v>1811.1071428571429</v>
      </c>
      <c r="C5" s="18"/>
    </row>
    <row r="6" spans="1:3" x14ac:dyDescent="0.45">
      <c r="A6" s="16" t="s">
        <v>363</v>
      </c>
      <c r="B6" s="19">
        <f>AVERAGE(Excel_jumia_dataset3[Discount])</f>
        <v>0.36776785714285731</v>
      </c>
      <c r="C6" s="20"/>
    </row>
    <row r="7" spans="1:3" x14ac:dyDescent="0.45">
      <c r="A7" s="16" t="s">
        <v>360</v>
      </c>
      <c r="B7" s="21">
        <f>AVERAGE(Excel_jumia_dataset3[Rating])</f>
        <v>3.8894736842105271</v>
      </c>
      <c r="C7" s="22"/>
    </row>
    <row r="8" spans="1:3" x14ac:dyDescent="0.45">
      <c r="A8" s="16" t="s">
        <v>361</v>
      </c>
      <c r="B8" s="23">
        <f>COUNTA(Excel_jumia_dataset3[Product])</f>
        <v>112</v>
      </c>
      <c r="C8" s="13"/>
    </row>
    <row r="9" spans="1:3" x14ac:dyDescent="0.45">
      <c r="A9" s="16" t="s">
        <v>362</v>
      </c>
      <c r="B9" s="49">
        <f>SUM(Excel_jumia_dataset3[Review])</f>
        <v>723</v>
      </c>
      <c r="C9" s="13"/>
    </row>
    <row r="10" spans="1:3" x14ac:dyDescent="0.45">
      <c r="A10" s="16" t="s">
        <v>366</v>
      </c>
      <c r="B10" s="17">
        <f>MAX(Excel_jumia_dataset3[Current Price])</f>
        <v>3750</v>
      </c>
      <c r="C10" s="18"/>
    </row>
    <row r="11" spans="1:3" x14ac:dyDescent="0.45">
      <c r="A11" s="16" t="s">
        <v>365</v>
      </c>
      <c r="B11" s="24" t="str">
        <f>_xlfn.XLOOKUP(MAX(Excel_jumia_dataset3[Current Price]),Excel_jumia_dataset3[Current Price],Excel_jumia_dataset3[Product])</f>
        <v>32PCS Portable Cordless Drill Set With Cyclic Battery Drive -26 Variable Speed</v>
      </c>
      <c r="C11" s="25"/>
    </row>
    <row r="12" spans="1:3" x14ac:dyDescent="0.45">
      <c r="A12" s="16" t="s">
        <v>367</v>
      </c>
      <c r="B12" s="17">
        <f>MIN(Excel_jumia_dataset3[Current Price])</f>
        <v>38</v>
      </c>
      <c r="C12" s="18"/>
    </row>
    <row r="13" spans="1:3" x14ac:dyDescent="0.45">
      <c r="A13" s="16" t="s">
        <v>364</v>
      </c>
      <c r="B13" s="23" t="str">
        <f>_xlfn.XLOOKUP(MIN(Excel_jumia_dataset3[Current Price]),Excel_jumia_dataset3[Current Price],Excel_jumia_dataset3[Product])</f>
        <v>3PCS Single Head Knitting Crochet Sweater Needle Set</v>
      </c>
      <c r="C13" s="13"/>
    </row>
    <row r="15" spans="1:3" x14ac:dyDescent="0.45">
      <c r="A15" s="26" t="s">
        <v>417</v>
      </c>
      <c r="B15" s="23"/>
    </row>
    <row r="16" spans="1:3" ht="28.5" x14ac:dyDescent="0.45">
      <c r="A16" s="27" t="s">
        <v>418</v>
      </c>
      <c r="B16" s="21">
        <f>CORREL(Excel_jumia_dataset3[Discount],Excel_jumia_dataset3[Review])</f>
        <v>-0.13682272428088291</v>
      </c>
      <c r="C16" s="10" t="s">
        <v>375</v>
      </c>
    </row>
    <row r="17" spans="1:11" ht="28.5" x14ac:dyDescent="0.45">
      <c r="A17" s="27" t="s">
        <v>419</v>
      </c>
      <c r="B17" s="21">
        <f>CORREL(Cleaned_Data!I3:I113,Cleaned_Data!H3:H113)</f>
        <v>5.7209035119876468E-2</v>
      </c>
      <c r="C17" s="10" t="s">
        <v>421</v>
      </c>
    </row>
    <row r="18" spans="1:11" ht="28.5" x14ac:dyDescent="0.45">
      <c r="A18" s="27" t="s">
        <v>420</v>
      </c>
      <c r="B18" s="21">
        <f>CORREL(Excel_jumia_dataset3[Current Price],Excel_jumia_dataset3[Rating])</f>
        <v>0.11009021272510705</v>
      </c>
      <c r="C18" s="10" t="s">
        <v>421</v>
      </c>
    </row>
    <row r="20" spans="1:11" x14ac:dyDescent="0.45">
      <c r="A20" s="26" t="s">
        <v>349</v>
      </c>
      <c r="B20" s="23"/>
    </row>
    <row r="21" spans="1:11" x14ac:dyDescent="0.45">
      <c r="A21" s="16" t="s">
        <v>415</v>
      </c>
      <c r="B21" s="24">
        <f>_xlfn.QUARTILE.INC(Excel_jumia_dataset3[Current Price],1)</f>
        <v>493</v>
      </c>
    </row>
    <row r="22" spans="1:11" x14ac:dyDescent="0.45">
      <c r="A22" s="16" t="s">
        <v>416</v>
      </c>
      <c r="B22" s="24">
        <f>_xlfn.QUARTILE.INC(Excel_jumia_dataset3[Current Price],3)</f>
        <v>1669.5</v>
      </c>
    </row>
    <row r="24" spans="1:11" x14ac:dyDescent="0.45">
      <c r="A24" s="28" t="s">
        <v>378</v>
      </c>
    </row>
    <row r="25" spans="1:11" x14ac:dyDescent="0.45">
      <c r="A25" s="11" t="s">
        <v>381</v>
      </c>
      <c r="B25" s="12" t="s">
        <v>334</v>
      </c>
      <c r="C25" s="12" t="s">
        <v>380</v>
      </c>
      <c r="D25" s="12" t="s">
        <v>333</v>
      </c>
    </row>
    <row r="26" spans="1:11" x14ac:dyDescent="0.45">
      <c r="A26" s="23" t="s">
        <v>56</v>
      </c>
      <c r="B26" s="23">
        <v>5</v>
      </c>
      <c r="C26" s="23">
        <v>2</v>
      </c>
      <c r="D26" s="29">
        <v>332</v>
      </c>
      <c r="F26" s="30"/>
      <c r="G26" s="31"/>
      <c r="K26" s="10" t="s">
        <v>376</v>
      </c>
    </row>
    <row r="27" spans="1:11" x14ac:dyDescent="0.45">
      <c r="A27" s="23" t="s">
        <v>60</v>
      </c>
      <c r="B27" s="23">
        <v>5</v>
      </c>
      <c r="C27" s="23">
        <v>2</v>
      </c>
      <c r="D27" s="29">
        <v>195</v>
      </c>
      <c r="F27" s="30"/>
      <c r="G27" s="31"/>
      <c r="K27" s="10" t="s">
        <v>376</v>
      </c>
    </row>
    <row r="28" spans="1:11" x14ac:dyDescent="0.45">
      <c r="A28" s="23" t="s">
        <v>63</v>
      </c>
      <c r="B28" s="23">
        <v>5</v>
      </c>
      <c r="C28" s="23">
        <v>3</v>
      </c>
      <c r="D28" s="29">
        <v>2025</v>
      </c>
      <c r="F28" s="30"/>
      <c r="G28" s="31"/>
      <c r="K28" s="10" t="s">
        <v>376</v>
      </c>
    </row>
    <row r="29" spans="1:11" x14ac:dyDescent="0.45">
      <c r="A29" s="23" t="s">
        <v>118</v>
      </c>
      <c r="B29" s="23">
        <v>5</v>
      </c>
      <c r="C29" s="23">
        <v>1</v>
      </c>
      <c r="D29" s="29">
        <v>1620</v>
      </c>
      <c r="F29" s="30"/>
      <c r="G29" s="31"/>
      <c r="K29" s="10" t="s">
        <v>376</v>
      </c>
    </row>
    <row r="30" spans="1:11" x14ac:dyDescent="0.45">
      <c r="A30" s="23" t="s">
        <v>121</v>
      </c>
      <c r="B30" s="23">
        <v>5</v>
      </c>
      <c r="C30" s="23">
        <v>2</v>
      </c>
      <c r="D30" s="29">
        <v>171</v>
      </c>
      <c r="F30" s="30"/>
      <c r="G30" s="31"/>
      <c r="K30" s="10" t="s">
        <v>376</v>
      </c>
    </row>
    <row r="32" spans="1:11" x14ac:dyDescent="0.45">
      <c r="A32" s="10" t="s">
        <v>382</v>
      </c>
    </row>
    <row r="33" spans="1:4" x14ac:dyDescent="0.45">
      <c r="A33" s="11" t="s">
        <v>381</v>
      </c>
      <c r="B33" s="12" t="s">
        <v>334</v>
      </c>
      <c r="C33" s="12" t="s">
        <v>380</v>
      </c>
      <c r="D33" s="12" t="s">
        <v>333</v>
      </c>
    </row>
    <row r="34" spans="1:4" x14ac:dyDescent="0.45">
      <c r="A34" s="16" t="s">
        <v>118</v>
      </c>
      <c r="B34" s="23">
        <v>2</v>
      </c>
      <c r="C34" s="23">
        <v>1</v>
      </c>
      <c r="D34" s="29">
        <v>450</v>
      </c>
    </row>
    <row r="35" spans="1:4" x14ac:dyDescent="0.45">
      <c r="A35" s="16" t="s">
        <v>246</v>
      </c>
      <c r="B35" s="23">
        <v>2.1</v>
      </c>
      <c r="C35" s="23">
        <v>7</v>
      </c>
      <c r="D35" s="29">
        <v>1570</v>
      </c>
    </row>
    <row r="36" spans="1:4" x14ac:dyDescent="0.45">
      <c r="A36" s="16" t="s">
        <v>254</v>
      </c>
      <c r="B36" s="23">
        <v>2.1</v>
      </c>
      <c r="C36" s="23">
        <v>13</v>
      </c>
      <c r="D36" s="29">
        <v>2115</v>
      </c>
    </row>
    <row r="37" spans="1:4" x14ac:dyDescent="0.45">
      <c r="A37" s="16" t="s">
        <v>244</v>
      </c>
      <c r="B37" s="23">
        <v>2.2000000000000002</v>
      </c>
      <c r="C37" s="23">
        <v>6</v>
      </c>
      <c r="D37" s="29">
        <v>990</v>
      </c>
    </row>
    <row r="38" spans="1:4" x14ac:dyDescent="0.45">
      <c r="A38" s="16" t="s">
        <v>319</v>
      </c>
      <c r="B38" s="23">
        <v>2.2000000000000002</v>
      </c>
      <c r="C38" s="23">
        <v>6</v>
      </c>
      <c r="D38" s="29">
        <v>968</v>
      </c>
    </row>
    <row r="40" spans="1:4" x14ac:dyDescent="0.45">
      <c r="A40" s="9" t="s">
        <v>385</v>
      </c>
    </row>
    <row r="41" spans="1:4" x14ac:dyDescent="0.45">
      <c r="A41" s="32" t="s">
        <v>396</v>
      </c>
      <c r="B41" s="33" t="s">
        <v>389</v>
      </c>
    </row>
    <row r="42" spans="1:4" x14ac:dyDescent="0.45">
      <c r="A42" s="11" t="s">
        <v>0</v>
      </c>
      <c r="B42" s="12" t="s">
        <v>380</v>
      </c>
    </row>
    <row r="43" spans="1:4" x14ac:dyDescent="0.45">
      <c r="A43" s="16" t="s">
        <v>195</v>
      </c>
      <c r="B43" s="23">
        <v>69</v>
      </c>
    </row>
    <row r="44" spans="1:4" x14ac:dyDescent="0.45">
      <c r="A44" s="16" t="s">
        <v>30</v>
      </c>
      <c r="B44" s="23">
        <v>55</v>
      </c>
    </row>
    <row r="45" spans="1:4" x14ac:dyDescent="0.45">
      <c r="A45" s="16" t="s">
        <v>90</v>
      </c>
      <c r="B45" s="23">
        <v>49</v>
      </c>
    </row>
    <row r="46" spans="1:4" x14ac:dyDescent="0.45">
      <c r="A46" s="16" t="s">
        <v>68</v>
      </c>
      <c r="B46" s="23">
        <v>44</v>
      </c>
    </row>
    <row r="47" spans="1:4" x14ac:dyDescent="0.45">
      <c r="A47" s="16" t="s">
        <v>44</v>
      </c>
      <c r="B47" s="23">
        <v>39</v>
      </c>
    </row>
    <row r="48" spans="1:4" x14ac:dyDescent="0.45">
      <c r="A48" s="28"/>
    </row>
    <row r="49" spans="1:6" x14ac:dyDescent="0.45">
      <c r="A49" s="32" t="s">
        <v>397</v>
      </c>
      <c r="B49" s="33" t="s">
        <v>390</v>
      </c>
    </row>
    <row r="50" spans="1:6" x14ac:dyDescent="0.45">
      <c r="A50" s="11" t="s">
        <v>0</v>
      </c>
      <c r="B50" s="12" t="s">
        <v>380</v>
      </c>
      <c r="C50" s="12" t="s">
        <v>3</v>
      </c>
      <c r="D50" s="12" t="s">
        <v>331</v>
      </c>
      <c r="E50" s="12" t="s">
        <v>334</v>
      </c>
      <c r="F50" s="11" t="s">
        <v>350</v>
      </c>
    </row>
    <row r="51" spans="1:6" x14ac:dyDescent="0.45">
      <c r="A51" s="16" t="s">
        <v>319</v>
      </c>
      <c r="B51" s="23">
        <v>1</v>
      </c>
      <c r="C51" s="19">
        <v>0.5</v>
      </c>
      <c r="D51" s="29">
        <v>450</v>
      </c>
      <c r="E51" s="23">
        <v>2</v>
      </c>
      <c r="F51" s="23" t="s">
        <v>374</v>
      </c>
    </row>
    <row r="52" spans="1:6" x14ac:dyDescent="0.45">
      <c r="A52" s="16" t="s">
        <v>244</v>
      </c>
      <c r="B52" s="23">
        <v>1</v>
      </c>
      <c r="C52" s="19">
        <v>0.46</v>
      </c>
      <c r="D52" s="29">
        <v>1010</v>
      </c>
      <c r="E52" s="23">
        <v>3</v>
      </c>
      <c r="F52" s="23" t="s">
        <v>374</v>
      </c>
    </row>
    <row r="53" spans="1:6" x14ac:dyDescent="0.45">
      <c r="A53" s="16" t="s">
        <v>254</v>
      </c>
      <c r="B53" s="23">
        <v>1</v>
      </c>
      <c r="C53" s="19">
        <v>0.49</v>
      </c>
      <c r="D53" s="29">
        <v>317</v>
      </c>
      <c r="E53" s="23">
        <v>4</v>
      </c>
      <c r="F53" s="23" t="s">
        <v>374</v>
      </c>
    </row>
    <row r="54" spans="1:6" x14ac:dyDescent="0.45">
      <c r="A54" s="16" t="s">
        <v>118</v>
      </c>
      <c r="B54" s="23">
        <v>1</v>
      </c>
      <c r="C54" s="19">
        <v>0.4</v>
      </c>
      <c r="D54" s="29">
        <v>1070</v>
      </c>
      <c r="E54" s="23">
        <v>5</v>
      </c>
      <c r="F54" s="23" t="s">
        <v>374</v>
      </c>
    </row>
    <row r="55" spans="1:6" x14ac:dyDescent="0.45">
      <c r="A55" s="16" t="s">
        <v>246</v>
      </c>
      <c r="B55" s="23">
        <v>1</v>
      </c>
      <c r="C55" s="19">
        <v>0.49</v>
      </c>
      <c r="D55" s="29">
        <v>941</v>
      </c>
      <c r="E55" s="23">
        <v>5</v>
      </c>
      <c r="F55" s="23" t="s">
        <v>374</v>
      </c>
    </row>
    <row r="57" spans="1:6" x14ac:dyDescent="0.45">
      <c r="A57" s="32" t="s">
        <v>395</v>
      </c>
      <c r="B57" s="33" t="s">
        <v>391</v>
      </c>
    </row>
    <row r="58" spans="1:6" x14ac:dyDescent="0.45">
      <c r="A58" s="11" t="s">
        <v>0</v>
      </c>
      <c r="B58" s="12" t="s">
        <v>380</v>
      </c>
      <c r="C58" s="12" t="s">
        <v>348</v>
      </c>
      <c r="D58" s="12" t="s">
        <v>334</v>
      </c>
    </row>
    <row r="59" spans="1:6" x14ac:dyDescent="0.45">
      <c r="A59" s="16" t="s">
        <v>195</v>
      </c>
      <c r="B59" s="23">
        <v>69</v>
      </c>
      <c r="C59" s="23" t="s">
        <v>377</v>
      </c>
      <c r="D59" s="23">
        <v>2.8</v>
      </c>
    </row>
    <row r="60" spans="1:6" x14ac:dyDescent="0.45">
      <c r="A60" s="16" t="s">
        <v>30</v>
      </c>
      <c r="B60" s="23">
        <v>55</v>
      </c>
      <c r="C60" s="23" t="s">
        <v>376</v>
      </c>
      <c r="D60" s="23">
        <v>4.5999999999999996</v>
      </c>
    </row>
    <row r="61" spans="1:6" x14ac:dyDescent="0.45">
      <c r="A61" s="16" t="s">
        <v>90</v>
      </c>
      <c r="B61" s="23">
        <v>49</v>
      </c>
      <c r="C61" s="23" t="s">
        <v>376</v>
      </c>
      <c r="D61" s="23">
        <v>4.5999999999999996</v>
      </c>
    </row>
    <row r="62" spans="1:6" x14ac:dyDescent="0.45">
      <c r="A62" s="16" t="s">
        <v>68</v>
      </c>
      <c r="B62" s="23">
        <v>44</v>
      </c>
      <c r="C62" s="23" t="s">
        <v>376</v>
      </c>
      <c r="D62" s="23">
        <v>4.5999999999999996</v>
      </c>
    </row>
    <row r="63" spans="1:6" x14ac:dyDescent="0.45">
      <c r="A63" s="16" t="s">
        <v>44</v>
      </c>
      <c r="B63" s="23">
        <v>39</v>
      </c>
      <c r="C63" s="23" t="s">
        <v>376</v>
      </c>
      <c r="D63" s="23">
        <v>4.7</v>
      </c>
    </row>
    <row r="65" spans="1:7" x14ac:dyDescent="0.45">
      <c r="A65" s="32" t="s">
        <v>394</v>
      </c>
      <c r="B65" s="33" t="s">
        <v>393</v>
      </c>
    </row>
    <row r="66" spans="1:7" x14ac:dyDescent="0.45">
      <c r="A66" s="11" t="s">
        <v>0</v>
      </c>
      <c r="B66" s="12" t="s">
        <v>331</v>
      </c>
      <c r="C66" s="12" t="s">
        <v>3</v>
      </c>
      <c r="D66" s="12" t="s">
        <v>350</v>
      </c>
      <c r="E66" s="12" t="s">
        <v>4</v>
      </c>
      <c r="F66" s="12" t="s">
        <v>334</v>
      </c>
      <c r="G66" s="12" t="s">
        <v>348</v>
      </c>
    </row>
    <row r="67" spans="1:7" x14ac:dyDescent="0.45">
      <c r="A67" s="16" t="s">
        <v>191</v>
      </c>
      <c r="B67" s="29">
        <v>2585</v>
      </c>
      <c r="C67" s="19">
        <v>0.55000000000000004</v>
      </c>
      <c r="D67" s="23" t="s">
        <v>374</v>
      </c>
      <c r="E67" s="23">
        <v>13</v>
      </c>
      <c r="F67" s="23">
        <v>2.1</v>
      </c>
      <c r="G67" s="23" t="s">
        <v>377</v>
      </c>
    </row>
    <row r="68" spans="1:7" x14ac:dyDescent="0.45">
      <c r="A68" s="16" t="s">
        <v>86</v>
      </c>
      <c r="B68" s="29">
        <v>2452</v>
      </c>
      <c r="C68" s="19">
        <v>0.54</v>
      </c>
      <c r="D68" s="23" t="s">
        <v>374</v>
      </c>
      <c r="E68" s="23">
        <v>7</v>
      </c>
      <c r="F68" s="23">
        <v>4.3</v>
      </c>
      <c r="G68" s="23" t="s">
        <v>356</v>
      </c>
    </row>
    <row r="69" spans="1:7" x14ac:dyDescent="0.45">
      <c r="A69" s="16" t="s">
        <v>213</v>
      </c>
      <c r="B69" s="29">
        <v>2393</v>
      </c>
      <c r="C69" s="19">
        <v>0.39</v>
      </c>
      <c r="D69" s="23" t="s">
        <v>370</v>
      </c>
      <c r="E69" s="23">
        <v>5</v>
      </c>
      <c r="F69" s="23">
        <v>3</v>
      </c>
      <c r="G69" s="23" t="s">
        <v>356</v>
      </c>
    </row>
    <row r="70" spans="1:7" x14ac:dyDescent="0.45">
      <c r="A70" s="16" t="s">
        <v>63</v>
      </c>
      <c r="B70" s="29">
        <v>1946</v>
      </c>
      <c r="C70" s="19">
        <v>0.49</v>
      </c>
      <c r="D70" s="23" t="s">
        <v>374</v>
      </c>
      <c r="E70" s="23">
        <v>3</v>
      </c>
      <c r="F70" s="23">
        <v>5</v>
      </c>
      <c r="G70" s="23" t="s">
        <v>376</v>
      </c>
    </row>
    <row r="71" spans="1:7" x14ac:dyDescent="0.45">
      <c r="A71" s="16" t="s">
        <v>100</v>
      </c>
      <c r="B71" s="29">
        <v>1880</v>
      </c>
      <c r="C71" s="19">
        <v>0.46</v>
      </c>
      <c r="D71" s="23" t="s">
        <v>374</v>
      </c>
      <c r="E71" s="23"/>
      <c r="F71" s="23" t="s">
        <v>78</v>
      </c>
      <c r="G71" s="23"/>
    </row>
    <row r="72" spans="1:7" x14ac:dyDescent="0.45">
      <c r="A72" s="16" t="s">
        <v>129</v>
      </c>
      <c r="B72" s="29">
        <v>1721</v>
      </c>
      <c r="C72" s="19">
        <v>0.38</v>
      </c>
      <c r="D72" s="23" t="s">
        <v>370</v>
      </c>
      <c r="E72" s="23"/>
      <c r="F72" s="23" t="s">
        <v>78</v>
      </c>
      <c r="G72" s="23"/>
    </row>
    <row r="74" spans="1:7" x14ac:dyDescent="0.45">
      <c r="A74" s="34" t="s">
        <v>398</v>
      </c>
      <c r="B74" s="37" t="s">
        <v>399</v>
      </c>
      <c r="C74" s="37" t="s">
        <v>400</v>
      </c>
      <c r="D74" s="37" t="s">
        <v>401</v>
      </c>
    </row>
    <row r="75" spans="1:7" ht="42.75" x14ac:dyDescent="0.45">
      <c r="A75" s="35" t="s">
        <v>402</v>
      </c>
      <c r="B75" s="35">
        <v>27</v>
      </c>
      <c r="C75" s="35" t="s">
        <v>403</v>
      </c>
      <c r="D75" s="35" t="s">
        <v>404</v>
      </c>
    </row>
    <row r="76" spans="1:7" ht="57" x14ac:dyDescent="0.45">
      <c r="A76" s="35" t="s">
        <v>405</v>
      </c>
      <c r="B76" s="35">
        <v>10</v>
      </c>
      <c r="C76" s="35" t="s">
        <v>406</v>
      </c>
      <c r="D76" s="35" t="s">
        <v>407</v>
      </c>
    </row>
    <row r="77" spans="1:7" ht="57" x14ac:dyDescent="0.45">
      <c r="A77" s="35" t="s">
        <v>408</v>
      </c>
      <c r="B77" s="35">
        <v>14</v>
      </c>
      <c r="C77" s="35" t="s">
        <v>409</v>
      </c>
      <c r="D77" s="35" t="s">
        <v>410</v>
      </c>
    </row>
    <row r="78" spans="1:7" ht="42.75" x14ac:dyDescent="0.45">
      <c r="A78" s="35" t="s">
        <v>411</v>
      </c>
      <c r="B78" s="35">
        <v>50</v>
      </c>
      <c r="C78" s="35" t="s">
        <v>412</v>
      </c>
      <c r="D78" s="35" t="s">
        <v>413</v>
      </c>
    </row>
    <row r="79" spans="1:7" x14ac:dyDescent="0.45">
      <c r="A79" s="36"/>
      <c r="B79" s="36"/>
      <c r="C79" s="36"/>
      <c r="D79" s="3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7FCE-4284-4A80-ACA5-278B2D13C1F8}">
  <dimension ref="A2:B37"/>
  <sheetViews>
    <sheetView zoomScale="85" zoomScaleNormal="85" workbookViewId="0">
      <selection activeCell="K34" sqref="K34"/>
    </sheetView>
  </sheetViews>
  <sheetFormatPr defaultRowHeight="14.25" x14ac:dyDescent="0.45"/>
  <cols>
    <col min="1" max="1" width="18.3984375" bestFit="1" customWidth="1"/>
    <col min="2" max="2" width="12.6640625" bestFit="1" customWidth="1"/>
    <col min="3" max="3" width="14.19921875" bestFit="1" customWidth="1"/>
    <col min="4" max="4" width="12.3984375" bestFit="1" customWidth="1"/>
    <col min="9" max="9" width="69.265625" bestFit="1" customWidth="1"/>
    <col min="10" max="10" width="12.6640625" bestFit="1" customWidth="1"/>
  </cols>
  <sheetData>
    <row r="2" spans="1:2" x14ac:dyDescent="0.45">
      <c r="A2" s="38" t="s">
        <v>423</v>
      </c>
    </row>
    <row r="3" spans="1:2" x14ac:dyDescent="0.45">
      <c r="A3" s="43">
        <v>112</v>
      </c>
    </row>
    <row r="5" spans="1:2" x14ac:dyDescent="0.45">
      <c r="A5" s="38" t="s">
        <v>348</v>
      </c>
      <c r="B5" s="38" t="s">
        <v>423</v>
      </c>
    </row>
    <row r="6" spans="1:2" x14ac:dyDescent="0.45">
      <c r="A6" s="6" t="s">
        <v>356</v>
      </c>
      <c r="B6" s="7">
        <v>22</v>
      </c>
    </row>
    <row r="7" spans="1:2" x14ac:dyDescent="0.45">
      <c r="A7" s="6" t="s">
        <v>376</v>
      </c>
      <c r="B7" s="7">
        <v>23</v>
      </c>
    </row>
    <row r="8" spans="1:2" x14ac:dyDescent="0.45">
      <c r="A8" s="6" t="s">
        <v>428</v>
      </c>
      <c r="B8" s="7">
        <v>55</v>
      </c>
    </row>
    <row r="9" spans="1:2" x14ac:dyDescent="0.45">
      <c r="A9" s="6" t="s">
        <v>377</v>
      </c>
      <c r="B9" s="7">
        <v>12</v>
      </c>
    </row>
    <row r="10" spans="1:2" x14ac:dyDescent="0.45">
      <c r="A10" s="39" t="s">
        <v>371</v>
      </c>
      <c r="B10" s="40">
        <v>112</v>
      </c>
    </row>
    <row r="13" spans="1:2" x14ac:dyDescent="0.45">
      <c r="A13" s="38" t="s">
        <v>350</v>
      </c>
      <c r="B13" s="38" t="s">
        <v>423</v>
      </c>
    </row>
    <row r="14" spans="1:2" x14ac:dyDescent="0.45">
      <c r="A14" s="6" t="s">
        <v>424</v>
      </c>
      <c r="B14" s="7">
        <v>62</v>
      </c>
    </row>
    <row r="15" spans="1:2" x14ac:dyDescent="0.45">
      <c r="A15" s="6" t="s">
        <v>425</v>
      </c>
      <c r="B15" s="7">
        <v>18</v>
      </c>
    </row>
    <row r="16" spans="1:2" x14ac:dyDescent="0.45">
      <c r="A16" s="6" t="s">
        <v>426</v>
      </c>
      <c r="B16" s="7">
        <v>32</v>
      </c>
    </row>
    <row r="17" spans="1:2" x14ac:dyDescent="0.45">
      <c r="A17" s="39" t="s">
        <v>371</v>
      </c>
      <c r="B17" s="40">
        <v>112</v>
      </c>
    </row>
    <row r="19" spans="1:2" x14ac:dyDescent="0.45">
      <c r="A19" s="38" t="s">
        <v>349</v>
      </c>
      <c r="B19" s="41" t="s">
        <v>423</v>
      </c>
    </row>
    <row r="20" spans="1:2" x14ac:dyDescent="0.45">
      <c r="A20" s="6" t="s">
        <v>430</v>
      </c>
      <c r="B20" s="7">
        <v>88</v>
      </c>
    </row>
    <row r="21" spans="1:2" x14ac:dyDescent="0.45">
      <c r="A21" s="6" t="s">
        <v>431</v>
      </c>
      <c r="B21" s="7">
        <v>17</v>
      </c>
    </row>
    <row r="22" spans="1:2" x14ac:dyDescent="0.45">
      <c r="A22" s="6" t="s">
        <v>432</v>
      </c>
      <c r="B22" s="7">
        <v>7</v>
      </c>
    </row>
    <row r="23" spans="1:2" x14ac:dyDescent="0.45">
      <c r="A23" s="39" t="s">
        <v>371</v>
      </c>
      <c r="B23" s="40">
        <v>112</v>
      </c>
    </row>
    <row r="26" spans="1:2" x14ac:dyDescent="0.45">
      <c r="A26" s="41" t="s">
        <v>350</v>
      </c>
      <c r="B26" s="41" t="s">
        <v>373</v>
      </c>
    </row>
    <row r="27" spans="1:2" x14ac:dyDescent="0.45">
      <c r="A27" s="6" t="s">
        <v>426</v>
      </c>
      <c r="B27" s="7">
        <v>351</v>
      </c>
    </row>
    <row r="28" spans="1:2" x14ac:dyDescent="0.45">
      <c r="A28" s="6" t="s">
        <v>424</v>
      </c>
      <c r="B28" s="7">
        <v>334</v>
      </c>
    </row>
    <row r="29" spans="1:2" x14ac:dyDescent="0.45">
      <c r="A29" s="6" t="s">
        <v>425</v>
      </c>
      <c r="B29" s="7">
        <v>38</v>
      </c>
    </row>
    <row r="30" spans="1:2" x14ac:dyDescent="0.45">
      <c r="A30" s="39" t="s">
        <v>371</v>
      </c>
      <c r="B30" s="40">
        <v>723</v>
      </c>
    </row>
    <row r="33" spans="1:2" x14ac:dyDescent="0.45">
      <c r="A33" s="38" t="s">
        <v>349</v>
      </c>
      <c r="B33" s="41" t="s">
        <v>372</v>
      </c>
    </row>
    <row r="34" spans="1:2" x14ac:dyDescent="0.45">
      <c r="A34" s="6" t="s">
        <v>430</v>
      </c>
      <c r="B34" s="7">
        <v>88</v>
      </c>
    </row>
    <row r="35" spans="1:2" x14ac:dyDescent="0.45">
      <c r="A35" s="6" t="s">
        <v>431</v>
      </c>
      <c r="B35" s="7">
        <v>17</v>
      </c>
    </row>
    <row r="36" spans="1:2" x14ac:dyDescent="0.45">
      <c r="A36" s="6" t="s">
        <v>432</v>
      </c>
      <c r="B36" s="7">
        <v>7</v>
      </c>
    </row>
    <row r="37" spans="1:2" x14ac:dyDescent="0.45">
      <c r="A37" s="39" t="s">
        <v>371</v>
      </c>
      <c r="B37" s="40">
        <v>112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C26EC-4D4B-4152-B2BB-99555B730465}">
  <dimension ref="A2:B40"/>
  <sheetViews>
    <sheetView workbookViewId="0">
      <selection activeCell="M17" sqref="M17"/>
    </sheetView>
  </sheetViews>
  <sheetFormatPr defaultRowHeight="14.25" x14ac:dyDescent="0.45"/>
  <cols>
    <col min="1" max="1" width="60.59765625" customWidth="1"/>
    <col min="2" max="2" width="16.53125" bestFit="1" customWidth="1"/>
  </cols>
  <sheetData>
    <row r="2" spans="1:2" x14ac:dyDescent="0.45">
      <c r="A2" s="46" t="s">
        <v>435</v>
      </c>
      <c r="B2" s="38" t="s">
        <v>427</v>
      </c>
    </row>
    <row r="3" spans="1:2" x14ac:dyDescent="0.45">
      <c r="A3" s="6" t="s">
        <v>121</v>
      </c>
      <c r="B3" s="7">
        <v>5</v>
      </c>
    </row>
    <row r="4" spans="1:2" x14ac:dyDescent="0.45">
      <c r="A4" s="6" t="s">
        <v>63</v>
      </c>
      <c r="B4" s="7">
        <v>5</v>
      </c>
    </row>
    <row r="5" spans="1:2" x14ac:dyDescent="0.45">
      <c r="A5" s="6" t="s">
        <v>296</v>
      </c>
      <c r="B5" s="7">
        <v>5</v>
      </c>
    </row>
    <row r="6" spans="1:2" x14ac:dyDescent="0.45">
      <c r="A6" s="6" t="s">
        <v>433</v>
      </c>
      <c r="B6" s="7">
        <v>5</v>
      </c>
    </row>
    <row r="7" spans="1:2" x14ac:dyDescent="0.45">
      <c r="A7" s="6" t="s">
        <v>434</v>
      </c>
      <c r="B7" s="7">
        <v>5</v>
      </c>
    </row>
    <row r="8" spans="1:2" x14ac:dyDescent="0.45">
      <c r="A8" s="6" t="s">
        <v>246</v>
      </c>
      <c r="B8" s="7">
        <v>5</v>
      </c>
    </row>
    <row r="9" spans="1:2" x14ac:dyDescent="0.45">
      <c r="A9" s="6" t="s">
        <v>118</v>
      </c>
      <c r="B9" s="7">
        <v>5</v>
      </c>
    </row>
    <row r="10" spans="1:2" x14ac:dyDescent="0.45">
      <c r="A10" s="6" t="s">
        <v>35</v>
      </c>
      <c r="B10" s="7">
        <v>4.8</v>
      </c>
    </row>
    <row r="11" spans="1:2" x14ac:dyDescent="0.45">
      <c r="A11" s="6" t="s">
        <v>22</v>
      </c>
      <c r="B11" s="7">
        <v>4.8</v>
      </c>
    </row>
    <row r="12" spans="1:2" x14ac:dyDescent="0.45">
      <c r="A12" s="6" t="s">
        <v>47</v>
      </c>
      <c r="B12" s="7">
        <v>4.8</v>
      </c>
    </row>
    <row r="13" spans="1:2" x14ac:dyDescent="0.45">
      <c r="A13" s="39" t="s">
        <v>371</v>
      </c>
      <c r="B13" s="40">
        <v>4.9399999999999995</v>
      </c>
    </row>
    <row r="16" spans="1:2" x14ac:dyDescent="0.45">
      <c r="A16" s="38" t="s">
        <v>436</v>
      </c>
      <c r="B16" s="38" t="s">
        <v>373</v>
      </c>
    </row>
    <row r="17" spans="1:2" x14ac:dyDescent="0.45">
      <c r="A17" s="6" t="s">
        <v>195</v>
      </c>
      <c r="B17" s="7">
        <v>69</v>
      </c>
    </row>
    <row r="18" spans="1:2" x14ac:dyDescent="0.45">
      <c r="A18" s="6" t="s">
        <v>30</v>
      </c>
      <c r="B18" s="7">
        <v>55</v>
      </c>
    </row>
    <row r="19" spans="1:2" x14ac:dyDescent="0.45">
      <c r="A19" s="6" t="s">
        <v>90</v>
      </c>
      <c r="B19" s="7">
        <v>49</v>
      </c>
    </row>
    <row r="20" spans="1:2" x14ac:dyDescent="0.45">
      <c r="A20" s="6" t="s">
        <v>68</v>
      </c>
      <c r="B20" s="7">
        <v>44</v>
      </c>
    </row>
    <row r="21" spans="1:2" x14ac:dyDescent="0.45">
      <c r="A21" s="6" t="s">
        <v>44</v>
      </c>
      <c r="B21" s="7">
        <v>39</v>
      </c>
    </row>
    <row r="22" spans="1:2" x14ac:dyDescent="0.45">
      <c r="A22" s="6" t="s">
        <v>123</v>
      </c>
      <c r="B22" s="7">
        <v>36</v>
      </c>
    </row>
    <row r="23" spans="1:2" x14ac:dyDescent="0.45">
      <c r="A23" s="6" t="s">
        <v>115</v>
      </c>
      <c r="B23" s="7">
        <v>32</v>
      </c>
    </row>
    <row r="24" spans="1:2" x14ac:dyDescent="0.45">
      <c r="A24" s="6" t="s">
        <v>14</v>
      </c>
      <c r="B24" s="7">
        <v>24</v>
      </c>
    </row>
    <row r="25" spans="1:2" x14ac:dyDescent="0.45">
      <c r="A25" s="6" t="s">
        <v>98</v>
      </c>
      <c r="B25" s="7">
        <v>20</v>
      </c>
    </row>
    <row r="26" spans="1:2" x14ac:dyDescent="0.45">
      <c r="A26" s="6" t="s">
        <v>112</v>
      </c>
      <c r="B26" s="7">
        <v>20</v>
      </c>
    </row>
    <row r="27" spans="1:2" x14ac:dyDescent="0.45">
      <c r="A27" s="39" t="s">
        <v>371</v>
      </c>
      <c r="B27" s="40">
        <v>388</v>
      </c>
    </row>
    <row r="29" spans="1:2" x14ac:dyDescent="0.45">
      <c r="A29" s="38" t="s">
        <v>422</v>
      </c>
      <c r="B29" s="38" t="s">
        <v>429</v>
      </c>
    </row>
    <row r="30" spans="1:2" x14ac:dyDescent="0.45">
      <c r="A30" s="6" t="s">
        <v>317</v>
      </c>
      <c r="B30" s="42">
        <v>0.64</v>
      </c>
    </row>
    <row r="31" spans="1:2" x14ac:dyDescent="0.45">
      <c r="A31" s="6" t="s">
        <v>35</v>
      </c>
      <c r="B31" s="42">
        <v>0.55000000000000004</v>
      </c>
    </row>
    <row r="32" spans="1:2" x14ac:dyDescent="0.45">
      <c r="A32" s="6" t="s">
        <v>191</v>
      </c>
      <c r="B32" s="42">
        <v>0.55000000000000004</v>
      </c>
    </row>
    <row r="33" spans="1:2" x14ac:dyDescent="0.45">
      <c r="A33" s="6" t="s">
        <v>155</v>
      </c>
      <c r="B33" s="42">
        <v>0.55000000000000004</v>
      </c>
    </row>
    <row r="34" spans="1:2" x14ac:dyDescent="0.45">
      <c r="A34" s="6" t="s">
        <v>86</v>
      </c>
      <c r="B34" s="42">
        <v>0.54</v>
      </c>
    </row>
    <row r="35" spans="1:2" x14ac:dyDescent="0.45">
      <c r="A35" s="6" t="s">
        <v>187</v>
      </c>
      <c r="B35" s="42">
        <v>0.54</v>
      </c>
    </row>
    <row r="36" spans="1:2" x14ac:dyDescent="0.45">
      <c r="A36" s="6" t="s">
        <v>121</v>
      </c>
      <c r="B36" s="42">
        <v>0.53</v>
      </c>
    </row>
    <row r="37" spans="1:2" x14ac:dyDescent="0.45">
      <c r="A37" s="6" t="s">
        <v>71</v>
      </c>
      <c r="B37" s="42">
        <v>0.53</v>
      </c>
    </row>
    <row r="38" spans="1:2" x14ac:dyDescent="0.45">
      <c r="A38" s="6" t="s">
        <v>103</v>
      </c>
      <c r="B38" s="42">
        <v>0.52</v>
      </c>
    </row>
    <row r="39" spans="1:2" x14ac:dyDescent="0.45">
      <c r="A39" s="6" t="s">
        <v>437</v>
      </c>
      <c r="B39" s="42">
        <v>0.52</v>
      </c>
    </row>
    <row r="40" spans="1:2" x14ac:dyDescent="0.45">
      <c r="A40" s="39" t="s">
        <v>371</v>
      </c>
      <c r="B40" s="47">
        <v>0.54727272727272724</v>
      </c>
    </row>
  </sheetData>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A580-9E4D-44A9-80F0-B1ABE71DBBE8}">
  <dimension ref="A1"/>
  <sheetViews>
    <sheetView workbookViewId="0">
      <selection activeCell="J12" sqref="J12"/>
    </sheetView>
  </sheetViews>
  <sheetFormatPr defaultRowHeight="14.25" x14ac:dyDescent="0.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A560-A1B1-45BF-9350-44BA180BF0DD}">
  <dimension ref="A1"/>
  <sheetViews>
    <sheetView showGridLines="0" zoomScale="85" zoomScaleNormal="85" workbookViewId="0">
      <selection activeCell="A3" sqref="A3"/>
    </sheetView>
  </sheetViews>
  <sheetFormatPr defaultRowHeight="14.25" x14ac:dyDescent="0.45"/>
  <cols>
    <col min="1" max="16384" width="9.06640625" style="4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EEF4-88BB-4D62-ADD6-3870B125E8E2}">
  <dimension ref="A1:D15"/>
  <sheetViews>
    <sheetView workbookViewId="0">
      <selection activeCell="A16" sqref="A16"/>
    </sheetView>
  </sheetViews>
  <sheetFormatPr defaultColWidth="17.1328125" defaultRowHeight="14.25" x14ac:dyDescent="0.45"/>
  <cols>
    <col min="1" max="1" width="77.86328125" bestFit="1" customWidth="1"/>
    <col min="2" max="2" width="19.53125" bestFit="1" customWidth="1"/>
    <col min="3" max="3" width="54.53125" bestFit="1" customWidth="1"/>
    <col min="4" max="4" width="35.73046875" bestFit="1" customWidth="1"/>
  </cols>
  <sheetData>
    <row r="1" spans="1:4" x14ac:dyDescent="0.45">
      <c r="A1" s="3" t="s">
        <v>324</v>
      </c>
      <c r="B1" s="3" t="s">
        <v>327</v>
      </c>
      <c r="C1" s="3" t="s">
        <v>325</v>
      </c>
      <c r="D1" s="3" t="s">
        <v>326</v>
      </c>
    </row>
    <row r="2" spans="1:4" x14ac:dyDescent="0.45">
      <c r="A2" t="s">
        <v>328</v>
      </c>
      <c r="B2" t="s">
        <v>329</v>
      </c>
      <c r="C2" t="s">
        <v>330</v>
      </c>
    </row>
    <row r="3" spans="1:4" x14ac:dyDescent="0.45">
      <c r="A3" t="s">
        <v>335</v>
      </c>
      <c r="B3" t="s">
        <v>336</v>
      </c>
      <c r="C3" t="s">
        <v>338</v>
      </c>
      <c r="D3" t="s">
        <v>337</v>
      </c>
    </row>
    <row r="4" spans="1:4" x14ac:dyDescent="0.45">
      <c r="A4" t="s">
        <v>339</v>
      </c>
      <c r="B4" t="s">
        <v>340</v>
      </c>
      <c r="C4" t="s">
        <v>341</v>
      </c>
    </row>
    <row r="5" spans="1:4" x14ac:dyDescent="0.45">
      <c r="A5" t="s">
        <v>342</v>
      </c>
      <c r="B5" t="s">
        <v>343</v>
      </c>
      <c r="C5" t="s">
        <v>344</v>
      </c>
    </row>
    <row r="6" spans="1:4" x14ac:dyDescent="0.45">
      <c r="A6" t="s">
        <v>345</v>
      </c>
      <c r="B6" t="s">
        <v>346</v>
      </c>
      <c r="C6" t="s">
        <v>347</v>
      </c>
    </row>
    <row r="7" spans="1:4" x14ac:dyDescent="0.45">
      <c r="A7" t="s">
        <v>348</v>
      </c>
    </row>
    <row r="8" spans="1:4" x14ac:dyDescent="0.45">
      <c r="A8" t="s">
        <v>351</v>
      </c>
      <c r="B8" t="s">
        <v>352</v>
      </c>
      <c r="C8" t="s">
        <v>379</v>
      </c>
      <c r="D8" t="s">
        <v>353</v>
      </c>
    </row>
    <row r="10" spans="1:4" x14ac:dyDescent="0.45">
      <c r="A10" t="s">
        <v>384</v>
      </c>
    </row>
    <row r="11" spans="1:4" x14ac:dyDescent="0.45">
      <c r="A11" t="s">
        <v>383</v>
      </c>
    </row>
    <row r="12" spans="1:4" x14ac:dyDescent="0.45">
      <c r="A12" t="s">
        <v>386</v>
      </c>
    </row>
    <row r="13" spans="1:4" x14ac:dyDescent="0.45">
      <c r="A13" t="s">
        <v>387</v>
      </c>
    </row>
    <row r="14" spans="1:4" x14ac:dyDescent="0.45">
      <c r="A14" t="s">
        <v>392</v>
      </c>
    </row>
    <row r="15" spans="1:4" x14ac:dyDescent="0.45">
      <c r="A15" t="s">
        <v>438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1B917E-7A95-4F5D-956B-533FD759A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Data_Analysis</vt:lpstr>
      <vt:lpstr>Product Categories</vt:lpstr>
      <vt:lpstr>Product Performance</vt:lpstr>
      <vt:lpstr>Trend Analysis</vt:lpstr>
      <vt:lpstr>Dashboard</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Zena Muhoro</dc:creator>
  <cp:lastModifiedBy>Zena Muhoro</cp:lastModifiedBy>
  <dcterms:created xsi:type="dcterms:W3CDTF">2026-09-04T17:58:06Z</dcterms:created>
  <dcterms:modified xsi:type="dcterms:W3CDTF">2026-09-05T16:38:00Z</dcterms:modified>
</cp:coreProperties>
</file>